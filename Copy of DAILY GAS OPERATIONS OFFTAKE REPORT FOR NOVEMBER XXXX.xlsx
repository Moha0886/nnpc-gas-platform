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npcgroup-my.sharepoint.com/personal/ghazali_ahmad_nnpcgroup_com/Documents/Documents/Midstream Dummy Data/"/>
    </mc:Choice>
  </mc:AlternateContent>
  <xr:revisionPtr revIDLastSave="0" documentId="8_{C67BD6C6-1856-4044-8FEB-709EE37CA5BF}" xr6:coauthVersionLast="47" xr6:coauthVersionMax="47" xr10:uidLastSave="{00000000-0000-0000-0000-000000000000}"/>
  <bookViews>
    <workbookView xWindow="-110" yWindow="-110" windowWidth="19420" windowHeight="11500" firstSheet="6" xr2:uid="{00000000-000D-0000-FFFF-FFFF00000000}"/>
  </bookViews>
  <sheets>
    <sheet name="Nov 1" sheetId="833" r:id="rId1"/>
    <sheet name="Nov 2" sheetId="834" r:id="rId2"/>
    <sheet name="Nov 3" sheetId="835" r:id="rId3"/>
    <sheet name="Nov 4" sheetId="836" r:id="rId4"/>
    <sheet name="Nov 5" sheetId="837" r:id="rId5"/>
    <sheet name="Nov 6" sheetId="838" r:id="rId6"/>
    <sheet name="Nov 7" sheetId="839" r:id="rId7"/>
    <sheet name="Nov 8" sheetId="840" r:id="rId8"/>
    <sheet name="Nov 9" sheetId="841" r:id="rId9"/>
    <sheet name="Nov 10" sheetId="842" r:id="rId10"/>
    <sheet name="Nov 11" sheetId="843" r:id="rId11"/>
    <sheet name="Nov 12" sheetId="844" r:id="rId12"/>
    <sheet name="Nov 13" sheetId="845" r:id="rId13"/>
    <sheet name="Nov 14" sheetId="846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" i="846" l="1"/>
  <c r="H17" i="846" s="1"/>
  <c r="J91" i="846"/>
  <c r="I91" i="846"/>
  <c r="G91" i="846"/>
  <c r="J90" i="846"/>
  <c r="I90" i="846"/>
  <c r="J89" i="846"/>
  <c r="I89" i="846"/>
  <c r="B88" i="846"/>
  <c r="B89" i="846" s="1"/>
  <c r="B90" i="846" s="1"/>
  <c r="B91" i="846" s="1"/>
  <c r="J87" i="846"/>
  <c r="H86" i="846"/>
  <c r="H14" i="846" s="1"/>
  <c r="G86" i="846"/>
  <c r="F86" i="846"/>
  <c r="E86" i="846"/>
  <c r="E14" i="846" s="1"/>
  <c r="M84" i="846"/>
  <c r="E84" i="846"/>
  <c r="I82" i="846"/>
  <c r="G80" i="846"/>
  <c r="B80" i="846"/>
  <c r="B81" i="846" s="1"/>
  <c r="B82" i="846" s="1"/>
  <c r="B83" i="846" s="1"/>
  <c r="H78" i="846"/>
  <c r="H10" i="846" s="1"/>
  <c r="E78" i="846"/>
  <c r="G76" i="846"/>
  <c r="C74" i="846"/>
  <c r="C75" i="846" s="1"/>
  <c r="B74" i="846"/>
  <c r="B75" i="846" s="1"/>
  <c r="B76" i="846" s="1"/>
  <c r="B77" i="846" s="1"/>
  <c r="H72" i="846"/>
  <c r="H9" i="846" s="1"/>
  <c r="E72" i="846"/>
  <c r="E9" i="846" s="1"/>
  <c r="G69" i="846"/>
  <c r="C67" i="846"/>
  <c r="B67" i="846"/>
  <c r="B68" i="846" s="1"/>
  <c r="B69" i="846" s="1"/>
  <c r="B70" i="846" s="1"/>
  <c r="B71" i="846" s="1"/>
  <c r="G66" i="846"/>
  <c r="H65" i="846"/>
  <c r="H8" i="846" s="1"/>
  <c r="E65" i="846"/>
  <c r="E8" i="846" s="1"/>
  <c r="H63" i="846"/>
  <c r="H59" i="846"/>
  <c r="H52" i="846"/>
  <c r="C46" i="846"/>
  <c r="C47" i="846" s="1"/>
  <c r="C48" i="846" s="1"/>
  <c r="C49" i="846" s="1"/>
  <c r="C50" i="846" s="1"/>
  <c r="C51" i="846" s="1"/>
  <c r="B46" i="846"/>
  <c r="B47" i="846" s="1"/>
  <c r="B48" i="846" s="1"/>
  <c r="B49" i="846" s="1"/>
  <c r="B50" i="846" s="1"/>
  <c r="B51" i="846" s="1"/>
  <c r="H43" i="846"/>
  <c r="C37" i="846"/>
  <c r="C38" i="846" s="1"/>
  <c r="C39" i="846" s="1"/>
  <c r="C40" i="846" s="1"/>
  <c r="C41" i="846" s="1"/>
  <c r="B37" i="846"/>
  <c r="B38" i="846" s="1"/>
  <c r="B39" i="846" s="1"/>
  <c r="B40" i="846" s="1"/>
  <c r="B41" i="846" s="1"/>
  <c r="H33" i="846"/>
  <c r="C30" i="846"/>
  <c r="C31" i="846" s="1"/>
  <c r="C27" i="846"/>
  <c r="B27" i="846"/>
  <c r="B28" i="846" s="1"/>
  <c r="B29" i="846" s="1"/>
  <c r="B30" i="846" s="1"/>
  <c r="B31" i="846" s="1"/>
  <c r="H25" i="846"/>
  <c r="E25" i="846"/>
  <c r="E7" i="846" s="1"/>
  <c r="M20" i="846"/>
  <c r="K14" i="846"/>
  <c r="G14" i="846"/>
  <c r="F14" i="846"/>
  <c r="K10" i="846"/>
  <c r="G10" i="846"/>
  <c r="G11" i="846" s="1"/>
  <c r="E2" i="846" s="1"/>
  <c r="F10" i="846"/>
  <c r="F11" i="846" s="1"/>
  <c r="E10" i="846"/>
  <c r="K9" i="846"/>
  <c r="K8" i="846"/>
  <c r="K7" i="846"/>
  <c r="E95" i="846" l="1"/>
  <c r="E11" i="846"/>
  <c r="H84" i="846"/>
  <c r="H7" i="846"/>
  <c r="H11" i="846" s="1"/>
  <c r="K84" i="846" s="1"/>
  <c r="F73" i="846"/>
  <c r="F61" i="846"/>
  <c r="F57" i="846"/>
  <c r="F50" i="846"/>
  <c r="F48" i="846"/>
  <c r="F41" i="846"/>
  <c r="F77" i="846"/>
  <c r="F68" i="846"/>
  <c r="F67" i="846"/>
  <c r="F62" i="846"/>
  <c r="F49" i="846"/>
  <c r="F47" i="846"/>
  <c r="F75" i="846"/>
  <c r="F55" i="846"/>
  <c r="F46" i="846"/>
  <c r="F71" i="846"/>
  <c r="F56" i="846"/>
  <c r="F37" i="846"/>
  <c r="F31" i="846"/>
  <c r="F74" i="846"/>
  <c r="F70" i="846"/>
  <c r="F40" i="846"/>
  <c r="F36" i="846"/>
  <c r="F51" i="846"/>
  <c r="F45" i="846"/>
  <c r="F39" i="846"/>
  <c r="F26" i="846"/>
  <c r="F27" i="846"/>
  <c r="F29" i="846"/>
  <c r="F30" i="846"/>
  <c r="F38" i="846"/>
  <c r="H93" i="845"/>
  <c r="H17" i="845" s="1"/>
  <c r="J91" i="845"/>
  <c r="I91" i="845"/>
  <c r="G91" i="845"/>
  <c r="G86" i="845" s="1"/>
  <c r="J90" i="845"/>
  <c r="I90" i="845"/>
  <c r="J89" i="845"/>
  <c r="I89" i="845"/>
  <c r="B88" i="845"/>
  <c r="B89" i="845" s="1"/>
  <c r="B90" i="845" s="1"/>
  <c r="B91" i="845" s="1"/>
  <c r="J87" i="845"/>
  <c r="H86" i="845"/>
  <c r="H14" i="845" s="1"/>
  <c r="F86" i="845"/>
  <c r="E86" i="845"/>
  <c r="E14" i="845" s="1"/>
  <c r="M84" i="845"/>
  <c r="E84" i="845"/>
  <c r="I82" i="845"/>
  <c r="G80" i="845"/>
  <c r="B80" i="845"/>
  <c r="B81" i="845" s="1"/>
  <c r="B82" i="845" s="1"/>
  <c r="B83" i="845" s="1"/>
  <c r="H78" i="845"/>
  <c r="H10" i="845" s="1"/>
  <c r="E78" i="845"/>
  <c r="E10" i="845" s="1"/>
  <c r="G76" i="845"/>
  <c r="C74" i="845"/>
  <c r="C75" i="845" s="1"/>
  <c r="B74" i="845"/>
  <c r="B75" i="845" s="1"/>
  <c r="B76" i="845" s="1"/>
  <c r="B77" i="845" s="1"/>
  <c r="H72" i="845"/>
  <c r="H9" i="845" s="1"/>
  <c r="E72" i="845"/>
  <c r="E9" i="845" s="1"/>
  <c r="G69" i="845"/>
  <c r="C67" i="845"/>
  <c r="B67" i="845"/>
  <c r="B68" i="845" s="1"/>
  <c r="B69" i="845" s="1"/>
  <c r="B70" i="845" s="1"/>
  <c r="B71" i="845" s="1"/>
  <c r="G66" i="845"/>
  <c r="H65" i="845"/>
  <c r="H8" i="845" s="1"/>
  <c r="E65" i="845"/>
  <c r="E8" i="845" s="1"/>
  <c r="H63" i="845"/>
  <c r="H59" i="845"/>
  <c r="H52" i="845"/>
  <c r="C46" i="845"/>
  <c r="C47" i="845" s="1"/>
  <c r="C48" i="845" s="1"/>
  <c r="C49" i="845" s="1"/>
  <c r="C50" i="845" s="1"/>
  <c r="C51" i="845" s="1"/>
  <c r="B46" i="845"/>
  <c r="B47" i="845" s="1"/>
  <c r="B48" i="845" s="1"/>
  <c r="B49" i="845" s="1"/>
  <c r="B50" i="845" s="1"/>
  <c r="B51" i="845" s="1"/>
  <c r="H43" i="845"/>
  <c r="C37" i="845"/>
  <c r="C38" i="845" s="1"/>
  <c r="C39" i="845" s="1"/>
  <c r="C40" i="845" s="1"/>
  <c r="C41" i="845" s="1"/>
  <c r="B37" i="845"/>
  <c r="B38" i="845" s="1"/>
  <c r="B39" i="845" s="1"/>
  <c r="B40" i="845" s="1"/>
  <c r="B41" i="845" s="1"/>
  <c r="H33" i="845"/>
  <c r="C30" i="845"/>
  <c r="C31" i="845" s="1"/>
  <c r="C27" i="845"/>
  <c r="B27" i="845"/>
  <c r="B28" i="845" s="1"/>
  <c r="B29" i="845" s="1"/>
  <c r="B30" i="845" s="1"/>
  <c r="B31" i="845" s="1"/>
  <c r="H25" i="845"/>
  <c r="E25" i="845"/>
  <c r="E7" i="845" s="1"/>
  <c r="M20" i="845"/>
  <c r="K14" i="845"/>
  <c r="G14" i="845"/>
  <c r="F14" i="845"/>
  <c r="K10" i="845"/>
  <c r="G10" i="845"/>
  <c r="G11" i="845" s="1"/>
  <c r="E2" i="845" s="1"/>
  <c r="F10" i="845"/>
  <c r="F11" i="845" s="1"/>
  <c r="K9" i="845"/>
  <c r="K8" i="845"/>
  <c r="K7" i="845"/>
  <c r="E11" i="845" l="1"/>
  <c r="E95" i="845"/>
  <c r="F25" i="846"/>
  <c r="F7" i="846" s="1"/>
  <c r="L20" i="846"/>
  <c r="L74" i="846" s="1"/>
  <c r="G74" i="846" s="1"/>
  <c r="F72" i="846"/>
  <c r="F9" i="846" s="1"/>
  <c r="F65" i="846"/>
  <c r="F8" i="846" s="1"/>
  <c r="L75" i="846"/>
  <c r="G75" i="846" s="1"/>
  <c r="L49" i="846"/>
  <c r="G49" i="846" s="1"/>
  <c r="H84" i="845"/>
  <c r="H7" i="845"/>
  <c r="H11" i="845" s="1"/>
  <c r="K84" i="845" s="1"/>
  <c r="F73" i="845"/>
  <c r="F61" i="845"/>
  <c r="F57" i="845"/>
  <c r="F50" i="845"/>
  <c r="F48" i="845"/>
  <c r="F41" i="845"/>
  <c r="F71" i="845"/>
  <c r="F56" i="845"/>
  <c r="F45" i="845"/>
  <c r="F40" i="845"/>
  <c r="F36" i="845"/>
  <c r="F75" i="845"/>
  <c r="F74" i="845"/>
  <c r="F62" i="845"/>
  <c r="F49" i="845"/>
  <c r="F39" i="845"/>
  <c r="F29" i="845"/>
  <c r="F68" i="845"/>
  <c r="F55" i="845"/>
  <c r="F46" i="845"/>
  <c r="F27" i="845"/>
  <c r="F70" i="845"/>
  <c r="F67" i="845"/>
  <c r="F47" i="845"/>
  <c r="F31" i="845"/>
  <c r="F26" i="845"/>
  <c r="F77" i="845"/>
  <c r="F51" i="845"/>
  <c r="F38" i="845"/>
  <c r="F37" i="845"/>
  <c r="F30" i="845"/>
  <c r="H93" i="844"/>
  <c r="H17" i="844" s="1"/>
  <c r="J91" i="844"/>
  <c r="I91" i="844"/>
  <c r="G91" i="844"/>
  <c r="G86" i="844" s="1"/>
  <c r="J90" i="844"/>
  <c r="I90" i="844"/>
  <c r="J89" i="844"/>
  <c r="I89" i="844"/>
  <c r="B88" i="844"/>
  <c r="B89" i="844" s="1"/>
  <c r="B90" i="844" s="1"/>
  <c r="B91" i="844" s="1"/>
  <c r="J87" i="844"/>
  <c r="H86" i="844"/>
  <c r="H14" i="844" s="1"/>
  <c r="F86" i="844"/>
  <c r="E86" i="844"/>
  <c r="E14" i="844" s="1"/>
  <c r="M84" i="844"/>
  <c r="E84" i="844"/>
  <c r="I82" i="844"/>
  <c r="G80" i="844"/>
  <c r="B80" i="844"/>
  <c r="B81" i="844" s="1"/>
  <c r="B82" i="844" s="1"/>
  <c r="B83" i="844" s="1"/>
  <c r="H78" i="844"/>
  <c r="H10" i="844" s="1"/>
  <c r="E78" i="844"/>
  <c r="E10" i="844" s="1"/>
  <c r="G76" i="844"/>
  <c r="C74" i="844"/>
  <c r="C75" i="844" s="1"/>
  <c r="B74" i="844"/>
  <c r="B75" i="844" s="1"/>
  <c r="B76" i="844" s="1"/>
  <c r="B77" i="844" s="1"/>
  <c r="H72" i="844"/>
  <c r="H9" i="844" s="1"/>
  <c r="E72" i="844"/>
  <c r="E9" i="844" s="1"/>
  <c r="G69" i="844"/>
  <c r="C67" i="844"/>
  <c r="B67" i="844"/>
  <c r="B68" i="844" s="1"/>
  <c r="B69" i="844" s="1"/>
  <c r="B70" i="844" s="1"/>
  <c r="B71" i="844" s="1"/>
  <c r="G66" i="844"/>
  <c r="H65" i="844"/>
  <c r="H8" i="844" s="1"/>
  <c r="E65" i="844"/>
  <c r="E8" i="844" s="1"/>
  <c r="H63" i="844"/>
  <c r="H59" i="844"/>
  <c r="H52" i="844"/>
  <c r="C46" i="844"/>
  <c r="C47" i="844" s="1"/>
  <c r="C48" i="844" s="1"/>
  <c r="C49" i="844" s="1"/>
  <c r="C50" i="844" s="1"/>
  <c r="C51" i="844" s="1"/>
  <c r="B46" i="844"/>
  <c r="B47" i="844" s="1"/>
  <c r="B48" i="844" s="1"/>
  <c r="B49" i="844" s="1"/>
  <c r="B50" i="844" s="1"/>
  <c r="B51" i="844" s="1"/>
  <c r="H43" i="844"/>
  <c r="C37" i="844"/>
  <c r="C38" i="844" s="1"/>
  <c r="C39" i="844" s="1"/>
  <c r="C40" i="844" s="1"/>
  <c r="C41" i="844" s="1"/>
  <c r="B37" i="844"/>
  <c r="B38" i="844" s="1"/>
  <c r="B39" i="844" s="1"/>
  <c r="B40" i="844" s="1"/>
  <c r="B41" i="844" s="1"/>
  <c r="H33" i="844"/>
  <c r="C30" i="844"/>
  <c r="C31" i="844" s="1"/>
  <c r="C27" i="844"/>
  <c r="B27" i="844"/>
  <c r="B28" i="844" s="1"/>
  <c r="B29" i="844" s="1"/>
  <c r="B30" i="844" s="1"/>
  <c r="B31" i="844" s="1"/>
  <c r="H25" i="844"/>
  <c r="H7" i="844" s="1"/>
  <c r="E25" i="844"/>
  <c r="E7" i="844" s="1"/>
  <c r="M20" i="844"/>
  <c r="K14" i="844"/>
  <c r="G14" i="844"/>
  <c r="F14" i="844"/>
  <c r="K10" i="844"/>
  <c r="G10" i="844"/>
  <c r="G11" i="844" s="1"/>
  <c r="E2" i="844" s="1"/>
  <c r="F10" i="844"/>
  <c r="F11" i="844" s="1"/>
  <c r="K9" i="844"/>
  <c r="K8" i="844"/>
  <c r="K7" i="844"/>
  <c r="L31" i="846" l="1"/>
  <c r="G31" i="846" s="1"/>
  <c r="L51" i="846"/>
  <c r="G51" i="846" s="1"/>
  <c r="L61" i="846"/>
  <c r="G61" i="846" s="1"/>
  <c r="L48" i="846"/>
  <c r="G48" i="846" s="1"/>
  <c r="L46" i="846"/>
  <c r="G46" i="846" s="1"/>
  <c r="L30" i="846"/>
  <c r="G30" i="846" s="1"/>
  <c r="L62" i="846"/>
  <c r="G62" i="846" s="1"/>
  <c r="L41" i="846"/>
  <c r="G41" i="846" s="1"/>
  <c r="E11" i="844"/>
  <c r="L50" i="846"/>
  <c r="G50" i="846" s="1"/>
  <c r="L67" i="846"/>
  <c r="G67" i="846" s="1"/>
  <c r="L70" i="846"/>
  <c r="G70" i="846" s="1"/>
  <c r="L36" i="846"/>
  <c r="G36" i="846" s="1"/>
  <c r="L29" i="846"/>
  <c r="G29" i="846" s="1"/>
  <c r="L40" i="846"/>
  <c r="G40" i="846" s="1"/>
  <c r="L71" i="846"/>
  <c r="G71" i="846" s="1"/>
  <c r="L38" i="846"/>
  <c r="G38" i="846" s="1"/>
  <c r="L56" i="846"/>
  <c r="G56" i="846" s="1"/>
  <c r="L26" i="846"/>
  <c r="G26" i="846" s="1"/>
  <c r="L39" i="846"/>
  <c r="G39" i="846" s="1"/>
  <c r="L45" i="846"/>
  <c r="G45" i="846" s="1"/>
  <c r="L57" i="846"/>
  <c r="G57" i="846" s="1"/>
  <c r="L68" i="846"/>
  <c r="G68" i="846" s="1"/>
  <c r="L55" i="846"/>
  <c r="G55" i="846" s="1"/>
  <c r="L77" i="846"/>
  <c r="G77" i="846" s="1"/>
  <c r="L73" i="846"/>
  <c r="G73" i="846" s="1"/>
  <c r="F82" i="846"/>
  <c r="L60" i="846"/>
  <c r="L58" i="846"/>
  <c r="L59" i="846"/>
  <c r="F83" i="846"/>
  <c r="L83" i="846" s="1"/>
  <c r="G83" i="846" s="1"/>
  <c r="L27" i="846"/>
  <c r="G27" i="846" s="1"/>
  <c r="L47" i="846"/>
  <c r="G47" i="846" s="1"/>
  <c r="L37" i="846"/>
  <c r="G37" i="846" s="1"/>
  <c r="F25" i="845"/>
  <c r="F7" i="845" s="1"/>
  <c r="F72" i="845"/>
  <c r="F9" i="845" s="1"/>
  <c r="F65" i="845"/>
  <c r="F8" i="845" s="1"/>
  <c r="L20" i="845"/>
  <c r="L39" i="845" s="1"/>
  <c r="G39" i="845" s="1"/>
  <c r="H11" i="844"/>
  <c r="K84" i="844" s="1"/>
  <c r="H84" i="844"/>
  <c r="F77" i="844"/>
  <c r="F68" i="844"/>
  <c r="F67" i="844"/>
  <c r="F62" i="844"/>
  <c r="F49" i="844"/>
  <c r="F47" i="844"/>
  <c r="F75" i="844"/>
  <c r="F55" i="844"/>
  <c r="F46" i="844"/>
  <c r="F74" i="844"/>
  <c r="F71" i="844"/>
  <c r="F70" i="844"/>
  <c r="F56" i="844"/>
  <c r="F51" i="844"/>
  <c r="F45" i="844"/>
  <c r="F73" i="844"/>
  <c r="F61" i="844"/>
  <c r="F50" i="844"/>
  <c r="F37" i="844"/>
  <c r="F41" i="844"/>
  <c r="F36" i="844"/>
  <c r="F48" i="844"/>
  <c r="F40" i="844"/>
  <c r="F39" i="844"/>
  <c r="F30" i="844"/>
  <c r="F57" i="844"/>
  <c r="F26" i="844"/>
  <c r="F31" i="844"/>
  <c r="F27" i="844"/>
  <c r="E95" i="844"/>
  <c r="F29" i="844"/>
  <c r="F38" i="844"/>
  <c r="H93" i="843"/>
  <c r="H17" i="843" s="1"/>
  <c r="J91" i="843"/>
  <c r="I91" i="843"/>
  <c r="G91" i="843"/>
  <c r="G86" i="843" s="1"/>
  <c r="J90" i="843"/>
  <c r="I90" i="843"/>
  <c r="J89" i="843"/>
  <c r="I89" i="843"/>
  <c r="B88" i="843"/>
  <c r="B89" i="843" s="1"/>
  <c r="B90" i="843" s="1"/>
  <c r="B91" i="843" s="1"/>
  <c r="J87" i="843"/>
  <c r="H86" i="843"/>
  <c r="H14" i="843" s="1"/>
  <c r="F86" i="843"/>
  <c r="E86" i="843"/>
  <c r="E14" i="843" s="1"/>
  <c r="M84" i="843"/>
  <c r="E84" i="843"/>
  <c r="I82" i="843"/>
  <c r="G80" i="843"/>
  <c r="B80" i="843"/>
  <c r="B81" i="843" s="1"/>
  <c r="B82" i="843" s="1"/>
  <c r="B83" i="843" s="1"/>
  <c r="H78" i="843"/>
  <c r="H10" i="843" s="1"/>
  <c r="E78" i="843"/>
  <c r="G76" i="843"/>
  <c r="C74" i="843"/>
  <c r="C75" i="843" s="1"/>
  <c r="B74" i="843"/>
  <c r="B75" i="843" s="1"/>
  <c r="B76" i="843" s="1"/>
  <c r="B77" i="843" s="1"/>
  <c r="H72" i="843"/>
  <c r="H9" i="843" s="1"/>
  <c r="E72" i="843"/>
  <c r="E9" i="843" s="1"/>
  <c r="G69" i="843"/>
  <c r="C67" i="843"/>
  <c r="B67" i="843"/>
  <c r="B68" i="843" s="1"/>
  <c r="B69" i="843" s="1"/>
  <c r="B70" i="843" s="1"/>
  <c r="B71" i="843" s="1"/>
  <c r="G66" i="843"/>
  <c r="H65" i="843"/>
  <c r="H8" i="843" s="1"/>
  <c r="E65" i="843"/>
  <c r="E8" i="843" s="1"/>
  <c r="H63" i="843"/>
  <c r="H59" i="843"/>
  <c r="H52" i="843"/>
  <c r="C46" i="843"/>
  <c r="C47" i="843" s="1"/>
  <c r="C48" i="843" s="1"/>
  <c r="C49" i="843" s="1"/>
  <c r="C50" i="843" s="1"/>
  <c r="C51" i="843" s="1"/>
  <c r="B46" i="843"/>
  <c r="B47" i="843" s="1"/>
  <c r="B48" i="843" s="1"/>
  <c r="B49" i="843" s="1"/>
  <c r="B50" i="843" s="1"/>
  <c r="B51" i="843" s="1"/>
  <c r="H43" i="843"/>
  <c r="C37" i="843"/>
  <c r="C38" i="843" s="1"/>
  <c r="C39" i="843" s="1"/>
  <c r="C40" i="843" s="1"/>
  <c r="C41" i="843" s="1"/>
  <c r="B37" i="843"/>
  <c r="B38" i="843" s="1"/>
  <c r="B39" i="843" s="1"/>
  <c r="B40" i="843" s="1"/>
  <c r="B41" i="843" s="1"/>
  <c r="H33" i="843"/>
  <c r="C30" i="843"/>
  <c r="C31" i="843" s="1"/>
  <c r="C27" i="843"/>
  <c r="B27" i="843"/>
  <c r="B28" i="843" s="1"/>
  <c r="B29" i="843" s="1"/>
  <c r="B30" i="843" s="1"/>
  <c r="B31" i="843" s="1"/>
  <c r="H25" i="843"/>
  <c r="H7" i="843" s="1"/>
  <c r="E25" i="843"/>
  <c r="E7" i="843" s="1"/>
  <c r="M20" i="843"/>
  <c r="K14" i="843"/>
  <c r="G14" i="843"/>
  <c r="F14" i="843"/>
  <c r="K10" i="843"/>
  <c r="G10" i="843"/>
  <c r="G11" i="843" s="1"/>
  <c r="E2" i="843" s="1"/>
  <c r="F10" i="843"/>
  <c r="F11" i="843" s="1"/>
  <c r="E10" i="843"/>
  <c r="K9" i="843"/>
  <c r="K8" i="843"/>
  <c r="K7" i="843"/>
  <c r="G63" i="846" l="1"/>
  <c r="G65" i="846"/>
  <c r="G8" i="846" s="1"/>
  <c r="G52" i="846"/>
  <c r="E11" i="843"/>
  <c r="G33" i="846"/>
  <c r="G59" i="846"/>
  <c r="L57" i="845"/>
  <c r="G57" i="845" s="1"/>
  <c r="G43" i="846"/>
  <c r="G25" i="846" s="1"/>
  <c r="L74" i="845"/>
  <c r="G74" i="845" s="1"/>
  <c r="G72" i="846"/>
  <c r="G9" i="846" s="1"/>
  <c r="L82" i="846"/>
  <c r="G82" i="846" s="1"/>
  <c r="F84" i="846"/>
  <c r="G95" i="846" s="1"/>
  <c r="L73" i="845"/>
  <c r="G73" i="845" s="1"/>
  <c r="L38" i="845"/>
  <c r="G38" i="845" s="1"/>
  <c r="L56" i="845"/>
  <c r="G56" i="845" s="1"/>
  <c r="L40" i="845"/>
  <c r="G40" i="845" s="1"/>
  <c r="F82" i="845"/>
  <c r="L60" i="845"/>
  <c r="L59" i="845"/>
  <c r="F83" i="845"/>
  <c r="L83" i="845" s="1"/>
  <c r="G83" i="845" s="1"/>
  <c r="L58" i="845"/>
  <c r="L36" i="845"/>
  <c r="G36" i="845" s="1"/>
  <c r="L55" i="845"/>
  <c r="G55" i="845" s="1"/>
  <c r="L71" i="845"/>
  <c r="G71" i="845" s="1"/>
  <c r="L29" i="845"/>
  <c r="G29" i="845" s="1"/>
  <c r="L31" i="845"/>
  <c r="G31" i="845" s="1"/>
  <c r="L61" i="845"/>
  <c r="G61" i="845" s="1"/>
  <c r="L75" i="845"/>
  <c r="G75" i="845" s="1"/>
  <c r="L77" i="845"/>
  <c r="G77" i="845" s="1"/>
  <c r="L41" i="845"/>
  <c r="G41" i="845" s="1"/>
  <c r="L27" i="845"/>
  <c r="G27" i="845" s="1"/>
  <c r="L37" i="845"/>
  <c r="G37" i="845" s="1"/>
  <c r="L50" i="845"/>
  <c r="G50" i="845" s="1"/>
  <c r="L62" i="845"/>
  <c r="G62" i="845" s="1"/>
  <c r="L68" i="845"/>
  <c r="G68" i="845" s="1"/>
  <c r="L49" i="845"/>
  <c r="G49" i="845" s="1"/>
  <c r="L48" i="845"/>
  <c r="G48" i="845" s="1"/>
  <c r="L46" i="845"/>
  <c r="G46" i="845" s="1"/>
  <c r="L70" i="845"/>
  <c r="G70" i="845" s="1"/>
  <c r="L45" i="845"/>
  <c r="G45" i="845" s="1"/>
  <c r="L30" i="845"/>
  <c r="G30" i="845" s="1"/>
  <c r="L67" i="845"/>
  <c r="G67" i="845" s="1"/>
  <c r="L51" i="845"/>
  <c r="G51" i="845" s="1"/>
  <c r="L47" i="845"/>
  <c r="G47" i="845" s="1"/>
  <c r="L26" i="845"/>
  <c r="G26" i="845" s="1"/>
  <c r="F25" i="844"/>
  <c r="F7" i="844" s="1"/>
  <c r="L20" i="844"/>
  <c r="L47" i="844" s="1"/>
  <c r="G47" i="844" s="1"/>
  <c r="F72" i="844"/>
  <c r="F9" i="844" s="1"/>
  <c r="F65" i="844"/>
  <c r="F8" i="844" s="1"/>
  <c r="H11" i="843"/>
  <c r="K84" i="843" s="1"/>
  <c r="H84" i="843"/>
  <c r="F77" i="843"/>
  <c r="F68" i="843"/>
  <c r="F67" i="843"/>
  <c r="F62" i="843"/>
  <c r="F49" i="843"/>
  <c r="F47" i="843"/>
  <c r="F75" i="843"/>
  <c r="F55" i="843"/>
  <c r="F46" i="843"/>
  <c r="F74" i="843"/>
  <c r="F71" i="843"/>
  <c r="F70" i="843"/>
  <c r="F56" i="843"/>
  <c r="F51" i="843"/>
  <c r="F45" i="843"/>
  <c r="F48" i="843"/>
  <c r="F39" i="843"/>
  <c r="F26" i="843"/>
  <c r="F31" i="843"/>
  <c r="E95" i="843"/>
  <c r="F27" i="843"/>
  <c r="F36" i="843"/>
  <c r="F40" i="843"/>
  <c r="F50" i="843"/>
  <c r="F57" i="843"/>
  <c r="F29" i="843"/>
  <c r="F37" i="843"/>
  <c r="F38" i="843"/>
  <c r="F73" i="843"/>
  <c r="F30" i="843"/>
  <c r="F41" i="843"/>
  <c r="F61" i="843"/>
  <c r="H93" i="842"/>
  <c r="H17" i="842" s="1"/>
  <c r="J91" i="842"/>
  <c r="I91" i="842"/>
  <c r="G91" i="842"/>
  <c r="G86" i="842" s="1"/>
  <c r="J90" i="842"/>
  <c r="I90" i="842"/>
  <c r="J89" i="842"/>
  <c r="I89" i="842"/>
  <c r="B88" i="842"/>
  <c r="B89" i="842" s="1"/>
  <c r="B90" i="842" s="1"/>
  <c r="B91" i="842" s="1"/>
  <c r="J87" i="842"/>
  <c r="H86" i="842"/>
  <c r="H14" i="842" s="1"/>
  <c r="F86" i="842"/>
  <c r="E86" i="842"/>
  <c r="E14" i="842" s="1"/>
  <c r="M84" i="842"/>
  <c r="E84" i="842"/>
  <c r="I82" i="842"/>
  <c r="G80" i="842"/>
  <c r="B80" i="842"/>
  <c r="B81" i="842" s="1"/>
  <c r="B82" i="842" s="1"/>
  <c r="B83" i="842" s="1"/>
  <c r="H78" i="842"/>
  <c r="H10" i="842" s="1"/>
  <c r="E78" i="842"/>
  <c r="E10" i="842" s="1"/>
  <c r="G76" i="842"/>
  <c r="C74" i="842"/>
  <c r="C75" i="842" s="1"/>
  <c r="B74" i="842"/>
  <c r="B75" i="842" s="1"/>
  <c r="B76" i="842" s="1"/>
  <c r="B77" i="842" s="1"/>
  <c r="H72" i="842"/>
  <c r="H9" i="842" s="1"/>
  <c r="E72" i="842"/>
  <c r="E9" i="842" s="1"/>
  <c r="G69" i="842"/>
  <c r="C67" i="842"/>
  <c r="B67" i="842"/>
  <c r="B68" i="842" s="1"/>
  <c r="B69" i="842" s="1"/>
  <c r="B70" i="842" s="1"/>
  <c r="B71" i="842" s="1"/>
  <c r="G66" i="842"/>
  <c r="E95" i="842" s="1"/>
  <c r="H65" i="842"/>
  <c r="H8" i="842" s="1"/>
  <c r="E65" i="842"/>
  <c r="H63" i="842"/>
  <c r="H59" i="842"/>
  <c r="H52" i="842"/>
  <c r="C46" i="842"/>
  <c r="C47" i="842" s="1"/>
  <c r="C48" i="842" s="1"/>
  <c r="C49" i="842" s="1"/>
  <c r="C50" i="842" s="1"/>
  <c r="C51" i="842" s="1"/>
  <c r="B46" i="842"/>
  <c r="B47" i="842" s="1"/>
  <c r="B48" i="842" s="1"/>
  <c r="B49" i="842" s="1"/>
  <c r="B50" i="842" s="1"/>
  <c r="B51" i="842" s="1"/>
  <c r="H43" i="842"/>
  <c r="C37" i="842"/>
  <c r="C38" i="842" s="1"/>
  <c r="C39" i="842" s="1"/>
  <c r="C40" i="842" s="1"/>
  <c r="C41" i="842" s="1"/>
  <c r="B37" i="842"/>
  <c r="B38" i="842" s="1"/>
  <c r="B39" i="842" s="1"/>
  <c r="B40" i="842" s="1"/>
  <c r="B41" i="842" s="1"/>
  <c r="H33" i="842"/>
  <c r="C30" i="842"/>
  <c r="C31" i="842" s="1"/>
  <c r="C27" i="842"/>
  <c r="B27" i="842"/>
  <c r="B28" i="842" s="1"/>
  <c r="B29" i="842" s="1"/>
  <c r="B30" i="842" s="1"/>
  <c r="B31" i="842" s="1"/>
  <c r="H25" i="842"/>
  <c r="E25" i="842"/>
  <c r="E7" i="842" s="1"/>
  <c r="M20" i="842"/>
  <c r="K14" i="842"/>
  <c r="G14" i="842"/>
  <c r="F14" i="842"/>
  <c r="K10" i="842"/>
  <c r="G10" i="842"/>
  <c r="G11" i="842" s="1"/>
  <c r="E2" i="842" s="1"/>
  <c r="F10" i="842"/>
  <c r="F11" i="842" s="1"/>
  <c r="K9" i="842"/>
  <c r="K8" i="842"/>
  <c r="E8" i="842"/>
  <c r="K7" i="842"/>
  <c r="F27" i="842" l="1"/>
  <c r="F71" i="842"/>
  <c r="E11" i="842"/>
  <c r="F46" i="842"/>
  <c r="F56" i="842"/>
  <c r="G59" i="845"/>
  <c r="G84" i="846"/>
  <c r="G7" i="846"/>
  <c r="G72" i="845"/>
  <c r="G9" i="845" s="1"/>
  <c r="G33" i="845"/>
  <c r="G65" i="845"/>
  <c r="G8" i="845" s="1"/>
  <c r="G52" i="845"/>
  <c r="G63" i="845"/>
  <c r="G43" i="845"/>
  <c r="L82" i="845"/>
  <c r="G82" i="845" s="1"/>
  <c r="F84" i="845"/>
  <c r="G95" i="845" s="1"/>
  <c r="L60" i="844"/>
  <c r="L58" i="844"/>
  <c r="L59" i="844"/>
  <c r="F83" i="844"/>
  <c r="L83" i="844" s="1"/>
  <c r="G83" i="844" s="1"/>
  <c r="F82" i="844"/>
  <c r="L56" i="844"/>
  <c r="G56" i="844" s="1"/>
  <c r="L46" i="844"/>
  <c r="G46" i="844" s="1"/>
  <c r="L31" i="844"/>
  <c r="G31" i="844" s="1"/>
  <c r="L77" i="844"/>
  <c r="G77" i="844" s="1"/>
  <c r="L74" i="844"/>
  <c r="G74" i="844" s="1"/>
  <c r="L71" i="844"/>
  <c r="G71" i="844" s="1"/>
  <c r="L27" i="844"/>
  <c r="G27" i="844" s="1"/>
  <c r="L68" i="844"/>
  <c r="G68" i="844" s="1"/>
  <c r="L50" i="844"/>
  <c r="G50" i="844" s="1"/>
  <c r="L40" i="844"/>
  <c r="G40" i="844" s="1"/>
  <c r="L51" i="844"/>
  <c r="G51" i="844" s="1"/>
  <c r="L41" i="844"/>
  <c r="G41" i="844" s="1"/>
  <c r="L30" i="844"/>
  <c r="G30" i="844" s="1"/>
  <c r="L45" i="844"/>
  <c r="G45" i="844" s="1"/>
  <c r="L48" i="844"/>
  <c r="G48" i="844" s="1"/>
  <c r="L73" i="844"/>
  <c r="G73" i="844" s="1"/>
  <c r="L26" i="844"/>
  <c r="G26" i="844" s="1"/>
  <c r="L38" i="844"/>
  <c r="G38" i="844" s="1"/>
  <c r="L70" i="844"/>
  <c r="G70" i="844" s="1"/>
  <c r="L61" i="844"/>
  <c r="G61" i="844" s="1"/>
  <c r="L55" i="844"/>
  <c r="G55" i="844" s="1"/>
  <c r="L49" i="844"/>
  <c r="G49" i="844" s="1"/>
  <c r="L67" i="844"/>
  <c r="G67" i="844" s="1"/>
  <c r="L39" i="844"/>
  <c r="G39" i="844" s="1"/>
  <c r="L57" i="844"/>
  <c r="G57" i="844" s="1"/>
  <c r="L37" i="844"/>
  <c r="G37" i="844" s="1"/>
  <c r="L62" i="844"/>
  <c r="G62" i="844" s="1"/>
  <c r="L36" i="844"/>
  <c r="G36" i="844" s="1"/>
  <c r="L75" i="844"/>
  <c r="G75" i="844" s="1"/>
  <c r="L29" i="844"/>
  <c r="G29" i="844" s="1"/>
  <c r="F25" i="843"/>
  <c r="F7" i="843" s="1"/>
  <c r="F72" i="843"/>
  <c r="F9" i="843" s="1"/>
  <c r="L20" i="843"/>
  <c r="L29" i="843" s="1"/>
  <c r="G29" i="843" s="1"/>
  <c r="F65" i="843"/>
  <c r="F8" i="843" s="1"/>
  <c r="H84" i="842"/>
  <c r="H7" i="842"/>
  <c r="H11" i="842" s="1"/>
  <c r="K84" i="842" s="1"/>
  <c r="F29" i="842"/>
  <c r="F45" i="842"/>
  <c r="F73" i="842"/>
  <c r="F61" i="842"/>
  <c r="F57" i="842"/>
  <c r="F50" i="842"/>
  <c r="F48" i="842"/>
  <c r="F41" i="842"/>
  <c r="F77" i="842"/>
  <c r="F68" i="842"/>
  <c r="F67" i="842"/>
  <c r="F62" i="842"/>
  <c r="F49" i="842"/>
  <c r="F47" i="842"/>
  <c r="F75" i="842"/>
  <c r="F55" i="842"/>
  <c r="F51" i="842"/>
  <c r="F40" i="842"/>
  <c r="F36" i="842"/>
  <c r="F30" i="842"/>
  <c r="F74" i="842"/>
  <c r="F26" i="842"/>
  <c r="F31" i="842"/>
  <c r="F37" i="842"/>
  <c r="F38" i="842"/>
  <c r="F39" i="842"/>
  <c r="F70" i="842"/>
  <c r="H93" i="841"/>
  <c r="H17" i="841" s="1"/>
  <c r="J91" i="841"/>
  <c r="I91" i="841"/>
  <c r="G91" i="841"/>
  <c r="G86" i="841" s="1"/>
  <c r="J90" i="841"/>
  <c r="I90" i="841"/>
  <c r="J89" i="841"/>
  <c r="I89" i="841"/>
  <c r="B88" i="841"/>
  <c r="B89" i="841" s="1"/>
  <c r="B90" i="841" s="1"/>
  <c r="B91" i="841" s="1"/>
  <c r="J87" i="841"/>
  <c r="H86" i="841"/>
  <c r="H14" i="841" s="1"/>
  <c r="F86" i="841"/>
  <c r="E86" i="841"/>
  <c r="E14" i="841" s="1"/>
  <c r="M84" i="841"/>
  <c r="E84" i="841"/>
  <c r="I82" i="841"/>
  <c r="G80" i="841"/>
  <c r="B80" i="841"/>
  <c r="B81" i="841" s="1"/>
  <c r="B82" i="841" s="1"/>
  <c r="B83" i="841" s="1"/>
  <c r="H78" i="841"/>
  <c r="H10" i="841" s="1"/>
  <c r="E78" i="841"/>
  <c r="E10" i="841" s="1"/>
  <c r="G76" i="841"/>
  <c r="C74" i="841"/>
  <c r="C75" i="841" s="1"/>
  <c r="B74" i="841"/>
  <c r="B75" i="841" s="1"/>
  <c r="B76" i="841" s="1"/>
  <c r="B77" i="841" s="1"/>
  <c r="H72" i="841"/>
  <c r="H9" i="841" s="1"/>
  <c r="E72" i="841"/>
  <c r="E9" i="841" s="1"/>
  <c r="G69" i="841"/>
  <c r="C67" i="841"/>
  <c r="B67" i="841"/>
  <c r="B68" i="841" s="1"/>
  <c r="B69" i="841" s="1"/>
  <c r="B70" i="841" s="1"/>
  <c r="B71" i="841" s="1"/>
  <c r="G66" i="841"/>
  <c r="H65" i="841"/>
  <c r="H8" i="841" s="1"/>
  <c r="E65" i="841"/>
  <c r="E8" i="841" s="1"/>
  <c r="H63" i="841"/>
  <c r="H59" i="841"/>
  <c r="H52" i="841"/>
  <c r="C46" i="841"/>
  <c r="C47" i="841" s="1"/>
  <c r="C48" i="841" s="1"/>
  <c r="C49" i="841" s="1"/>
  <c r="C50" i="841" s="1"/>
  <c r="C51" i="841" s="1"/>
  <c r="B46" i="841"/>
  <c r="B47" i="841" s="1"/>
  <c r="B48" i="841" s="1"/>
  <c r="B49" i="841" s="1"/>
  <c r="B50" i="841" s="1"/>
  <c r="B51" i="841" s="1"/>
  <c r="H43" i="841"/>
  <c r="C37" i="841"/>
  <c r="C38" i="841" s="1"/>
  <c r="C39" i="841" s="1"/>
  <c r="C40" i="841" s="1"/>
  <c r="C41" i="841" s="1"/>
  <c r="B37" i="841"/>
  <c r="B38" i="841" s="1"/>
  <c r="B39" i="841" s="1"/>
  <c r="B40" i="841" s="1"/>
  <c r="B41" i="841" s="1"/>
  <c r="H33" i="841"/>
  <c r="C30" i="841"/>
  <c r="C31" i="841" s="1"/>
  <c r="C27" i="841"/>
  <c r="B27" i="841"/>
  <c r="B28" i="841" s="1"/>
  <c r="B29" i="841" s="1"/>
  <c r="B30" i="841" s="1"/>
  <c r="B31" i="841" s="1"/>
  <c r="H25" i="841"/>
  <c r="H7" i="841" s="1"/>
  <c r="E25" i="841"/>
  <c r="E7" i="841" s="1"/>
  <c r="M20" i="841"/>
  <c r="K14" i="841"/>
  <c r="G14" i="841"/>
  <c r="F14" i="841"/>
  <c r="K10" i="841"/>
  <c r="G10" i="841"/>
  <c r="G11" i="841" s="1"/>
  <c r="E2" i="841" s="1"/>
  <c r="F10" i="841"/>
  <c r="F11" i="841" s="1"/>
  <c r="K9" i="841"/>
  <c r="K8" i="841"/>
  <c r="K7" i="841"/>
  <c r="F27" i="841" l="1"/>
  <c r="F38" i="841"/>
  <c r="E95" i="841"/>
  <c r="F62" i="841"/>
  <c r="E11" i="841"/>
  <c r="F55" i="841"/>
  <c r="G25" i="845"/>
  <c r="G7" i="845" s="1"/>
  <c r="G84" i="845"/>
  <c r="G65" i="844"/>
  <c r="G8" i="844" s="1"/>
  <c r="G43" i="844"/>
  <c r="G33" i="844"/>
  <c r="G72" i="844"/>
  <c r="G9" i="844" s="1"/>
  <c r="G63" i="844"/>
  <c r="G59" i="844"/>
  <c r="G52" i="844"/>
  <c r="L82" i="844"/>
  <c r="G82" i="844" s="1"/>
  <c r="F84" i="844"/>
  <c r="G95" i="844" s="1"/>
  <c r="L71" i="843"/>
  <c r="G71" i="843" s="1"/>
  <c r="L39" i="843"/>
  <c r="G39" i="843" s="1"/>
  <c r="L37" i="843"/>
  <c r="G37" i="843" s="1"/>
  <c r="L45" i="843"/>
  <c r="G45" i="843" s="1"/>
  <c r="L51" i="843"/>
  <c r="G51" i="843" s="1"/>
  <c r="L40" i="843"/>
  <c r="G40" i="843" s="1"/>
  <c r="L47" i="843"/>
  <c r="G47" i="843" s="1"/>
  <c r="L48" i="843"/>
  <c r="G48" i="843" s="1"/>
  <c r="L77" i="843"/>
  <c r="G77" i="843" s="1"/>
  <c r="L56" i="843"/>
  <c r="G56" i="843" s="1"/>
  <c r="L73" i="843"/>
  <c r="G73" i="843" s="1"/>
  <c r="L68" i="843"/>
  <c r="G68" i="843" s="1"/>
  <c r="L36" i="843"/>
  <c r="G36" i="843" s="1"/>
  <c r="L31" i="843"/>
  <c r="G31" i="843" s="1"/>
  <c r="L26" i="843"/>
  <c r="G26" i="843" s="1"/>
  <c r="L27" i="843"/>
  <c r="G27" i="843" s="1"/>
  <c r="L57" i="843"/>
  <c r="G57" i="843" s="1"/>
  <c r="L61" i="843"/>
  <c r="G61" i="843" s="1"/>
  <c r="L60" i="843"/>
  <c r="L58" i="843"/>
  <c r="L59" i="843"/>
  <c r="F83" i="843"/>
  <c r="L83" i="843" s="1"/>
  <c r="G83" i="843" s="1"/>
  <c r="F82" i="843"/>
  <c r="L55" i="843"/>
  <c r="G55" i="843" s="1"/>
  <c r="L62" i="843"/>
  <c r="G62" i="843" s="1"/>
  <c r="L50" i="843"/>
  <c r="G50" i="843" s="1"/>
  <c r="L41" i="843"/>
  <c r="G41" i="843" s="1"/>
  <c r="L75" i="843"/>
  <c r="G75" i="843" s="1"/>
  <c r="L67" i="843"/>
  <c r="G67" i="843" s="1"/>
  <c r="L70" i="843"/>
  <c r="G70" i="843" s="1"/>
  <c r="L38" i="843"/>
  <c r="G38" i="843" s="1"/>
  <c r="L74" i="843"/>
  <c r="G74" i="843" s="1"/>
  <c r="L30" i="843"/>
  <c r="G30" i="843" s="1"/>
  <c r="L49" i="843"/>
  <c r="G49" i="843" s="1"/>
  <c r="L46" i="843"/>
  <c r="G46" i="843" s="1"/>
  <c r="F25" i="842"/>
  <c r="F7" i="842" s="1"/>
  <c r="L20" i="842"/>
  <c r="F65" i="842"/>
  <c r="F8" i="842" s="1"/>
  <c r="L50" i="842"/>
  <c r="G50" i="842" s="1"/>
  <c r="F72" i="842"/>
  <c r="F9" i="842" s="1"/>
  <c r="H11" i="841"/>
  <c r="K84" i="841" s="1"/>
  <c r="F29" i="841"/>
  <c r="F47" i="841"/>
  <c r="F73" i="841"/>
  <c r="F61" i="841"/>
  <c r="F57" i="841"/>
  <c r="F50" i="841"/>
  <c r="F48" i="841"/>
  <c r="F41" i="841"/>
  <c r="F74" i="841"/>
  <c r="F71" i="841"/>
  <c r="F70" i="841"/>
  <c r="F56" i="841"/>
  <c r="F51" i="841"/>
  <c r="F45" i="841"/>
  <c r="F67" i="841"/>
  <c r="F40" i="841"/>
  <c r="F39" i="841"/>
  <c r="F68" i="841"/>
  <c r="F46" i="841"/>
  <c r="F37" i="841"/>
  <c r="H84" i="841"/>
  <c r="F30" i="841"/>
  <c r="F36" i="841"/>
  <c r="F77" i="841"/>
  <c r="F26" i="841"/>
  <c r="F31" i="841"/>
  <c r="F49" i="841"/>
  <c r="F75" i="841"/>
  <c r="H52" i="840"/>
  <c r="H93" i="840"/>
  <c r="H17" i="840" s="1"/>
  <c r="J91" i="840"/>
  <c r="I91" i="840"/>
  <c r="G91" i="840"/>
  <c r="G86" i="840" s="1"/>
  <c r="J90" i="840"/>
  <c r="I90" i="840"/>
  <c r="J89" i="840"/>
  <c r="I89" i="840"/>
  <c r="B88" i="840"/>
  <c r="B89" i="840" s="1"/>
  <c r="B90" i="840" s="1"/>
  <c r="B91" i="840" s="1"/>
  <c r="J87" i="840"/>
  <c r="H86" i="840"/>
  <c r="H14" i="840" s="1"/>
  <c r="F86" i="840"/>
  <c r="E86" i="840"/>
  <c r="E14" i="840" s="1"/>
  <c r="M84" i="840"/>
  <c r="E84" i="840"/>
  <c r="I82" i="840"/>
  <c r="G80" i="840"/>
  <c r="B80" i="840"/>
  <c r="B81" i="840" s="1"/>
  <c r="B82" i="840" s="1"/>
  <c r="B83" i="840" s="1"/>
  <c r="H78" i="840"/>
  <c r="H10" i="840" s="1"/>
  <c r="E78" i="840"/>
  <c r="E10" i="840" s="1"/>
  <c r="G76" i="840"/>
  <c r="C74" i="840"/>
  <c r="C75" i="840" s="1"/>
  <c r="B74" i="840"/>
  <c r="B75" i="840" s="1"/>
  <c r="B76" i="840" s="1"/>
  <c r="B77" i="840" s="1"/>
  <c r="H72" i="840"/>
  <c r="H9" i="840" s="1"/>
  <c r="E72" i="840"/>
  <c r="E9" i="840" s="1"/>
  <c r="G69" i="840"/>
  <c r="C67" i="840"/>
  <c r="B67" i="840"/>
  <c r="B68" i="840" s="1"/>
  <c r="B69" i="840" s="1"/>
  <c r="B70" i="840" s="1"/>
  <c r="B71" i="840" s="1"/>
  <c r="G66" i="840"/>
  <c r="H65" i="840"/>
  <c r="H8" i="840" s="1"/>
  <c r="E65" i="840"/>
  <c r="E8" i="840" s="1"/>
  <c r="H63" i="840"/>
  <c r="H59" i="840"/>
  <c r="C46" i="840"/>
  <c r="C47" i="840" s="1"/>
  <c r="C48" i="840" s="1"/>
  <c r="C49" i="840" s="1"/>
  <c r="C50" i="840" s="1"/>
  <c r="C51" i="840" s="1"/>
  <c r="B46" i="840"/>
  <c r="B47" i="840" s="1"/>
  <c r="B48" i="840" s="1"/>
  <c r="B49" i="840" s="1"/>
  <c r="B50" i="840" s="1"/>
  <c r="B51" i="840" s="1"/>
  <c r="H43" i="840"/>
  <c r="C37" i="840"/>
  <c r="C38" i="840" s="1"/>
  <c r="C39" i="840" s="1"/>
  <c r="C40" i="840" s="1"/>
  <c r="C41" i="840" s="1"/>
  <c r="B37" i="840"/>
  <c r="B38" i="840" s="1"/>
  <c r="B39" i="840" s="1"/>
  <c r="B40" i="840" s="1"/>
  <c r="B41" i="840" s="1"/>
  <c r="H33" i="840"/>
  <c r="C30" i="840"/>
  <c r="C31" i="840" s="1"/>
  <c r="C27" i="840"/>
  <c r="B27" i="840"/>
  <c r="B28" i="840" s="1"/>
  <c r="B29" i="840" s="1"/>
  <c r="B30" i="840" s="1"/>
  <c r="B31" i="840" s="1"/>
  <c r="H25" i="840"/>
  <c r="E25" i="840"/>
  <c r="E7" i="840" s="1"/>
  <c r="M20" i="840"/>
  <c r="K14" i="840"/>
  <c r="G14" i="840"/>
  <c r="F14" i="840"/>
  <c r="K10" i="840"/>
  <c r="G10" i="840"/>
  <c r="G11" i="840" s="1"/>
  <c r="E2" i="840" s="1"/>
  <c r="F10" i="840"/>
  <c r="F11" i="840" s="1"/>
  <c r="K9" i="840"/>
  <c r="K8" i="840"/>
  <c r="K7" i="840"/>
  <c r="L61" i="842" l="1"/>
  <c r="G61" i="842" s="1"/>
  <c r="L48" i="842"/>
  <c r="G48" i="842" s="1"/>
  <c r="L77" i="842"/>
  <c r="G77" i="842" s="1"/>
  <c r="L67" i="842"/>
  <c r="G67" i="842" s="1"/>
  <c r="L55" i="842"/>
  <c r="G55" i="842" s="1"/>
  <c r="L47" i="842"/>
  <c r="G47" i="842" s="1"/>
  <c r="L39" i="842"/>
  <c r="G39" i="842" s="1"/>
  <c r="L74" i="842"/>
  <c r="G74" i="842" s="1"/>
  <c r="L51" i="842"/>
  <c r="G51" i="842" s="1"/>
  <c r="L70" i="842"/>
  <c r="G70" i="842" s="1"/>
  <c r="F29" i="840"/>
  <c r="L38" i="842"/>
  <c r="G38" i="842" s="1"/>
  <c r="L45" i="842"/>
  <c r="G45" i="842" s="1"/>
  <c r="G59" i="843"/>
  <c r="E11" i="840"/>
  <c r="L73" i="842"/>
  <c r="G73" i="842" s="1"/>
  <c r="L36" i="842"/>
  <c r="G36" i="842" s="1"/>
  <c r="L31" i="842"/>
  <c r="G31" i="842" s="1"/>
  <c r="L57" i="842"/>
  <c r="G57" i="842" s="1"/>
  <c r="F57" i="840"/>
  <c r="L68" i="842"/>
  <c r="G68" i="842" s="1"/>
  <c r="G25" i="844"/>
  <c r="G52" i="843"/>
  <c r="L82" i="843"/>
  <c r="G82" i="843" s="1"/>
  <c r="F84" i="843"/>
  <c r="G95" i="843" s="1"/>
  <c r="G72" i="843"/>
  <c r="G9" i="843" s="1"/>
  <c r="G65" i="843"/>
  <c r="G8" i="843" s="1"/>
  <c r="G63" i="843"/>
  <c r="G33" i="843"/>
  <c r="G43" i="843"/>
  <c r="L40" i="842"/>
  <c r="G40" i="842" s="1"/>
  <c r="L30" i="842"/>
  <c r="G30" i="842" s="1"/>
  <c r="L49" i="842"/>
  <c r="G49" i="842" s="1"/>
  <c r="L62" i="842"/>
  <c r="G62" i="842" s="1"/>
  <c r="F82" i="842"/>
  <c r="L60" i="842"/>
  <c r="L58" i="842"/>
  <c r="L59" i="842"/>
  <c r="F83" i="842"/>
  <c r="L83" i="842" s="1"/>
  <c r="G83" i="842" s="1"/>
  <c r="L46" i="842"/>
  <c r="G46" i="842" s="1"/>
  <c r="L56" i="842"/>
  <c r="G56" i="842" s="1"/>
  <c r="L71" i="842"/>
  <c r="G71" i="842" s="1"/>
  <c r="L27" i="842"/>
  <c r="G27" i="842" s="1"/>
  <c r="L75" i="842"/>
  <c r="G75" i="842" s="1"/>
  <c r="L41" i="842"/>
  <c r="G41" i="842" s="1"/>
  <c r="L26" i="842"/>
  <c r="G26" i="842" s="1"/>
  <c r="L37" i="842"/>
  <c r="G37" i="842" s="1"/>
  <c r="L29" i="842"/>
  <c r="G29" i="842" s="1"/>
  <c r="F25" i="841"/>
  <c r="F7" i="841" s="1"/>
  <c r="L20" i="841"/>
  <c r="L30" i="841" s="1"/>
  <c r="G30" i="841" s="1"/>
  <c r="F65" i="841"/>
  <c r="F8" i="841" s="1"/>
  <c r="F72" i="841"/>
  <c r="F9" i="841" s="1"/>
  <c r="H84" i="840"/>
  <c r="H7" i="840"/>
  <c r="H11" i="840" s="1"/>
  <c r="K84" i="840" s="1"/>
  <c r="F77" i="840"/>
  <c r="F68" i="840"/>
  <c r="F67" i="840"/>
  <c r="F62" i="840"/>
  <c r="F46" i="840"/>
  <c r="F75" i="840"/>
  <c r="F55" i="840"/>
  <c r="F51" i="840"/>
  <c r="F45" i="840"/>
  <c r="F74" i="840"/>
  <c r="F71" i="840"/>
  <c r="F70" i="840"/>
  <c r="F56" i="840"/>
  <c r="F50" i="840"/>
  <c r="F48" i="840"/>
  <c r="F41" i="840"/>
  <c r="F73" i="840"/>
  <c r="F61" i="840"/>
  <c r="F49" i="840"/>
  <c r="F39" i="840"/>
  <c r="F38" i="840"/>
  <c r="F47" i="840"/>
  <c r="F37" i="840"/>
  <c r="F31" i="840"/>
  <c r="F30" i="840"/>
  <c r="F40" i="840"/>
  <c r="F26" i="840"/>
  <c r="E95" i="840"/>
  <c r="F27" i="840"/>
  <c r="F36" i="840"/>
  <c r="H93" i="839"/>
  <c r="H17" i="839" s="1"/>
  <c r="J91" i="839"/>
  <c r="I91" i="839"/>
  <c r="G91" i="839"/>
  <c r="G86" i="839" s="1"/>
  <c r="J90" i="839"/>
  <c r="I90" i="839"/>
  <c r="J89" i="839"/>
  <c r="I89" i="839"/>
  <c r="B88" i="839"/>
  <c r="B89" i="839" s="1"/>
  <c r="B90" i="839" s="1"/>
  <c r="B91" i="839" s="1"/>
  <c r="J87" i="839"/>
  <c r="H86" i="839"/>
  <c r="H14" i="839" s="1"/>
  <c r="F86" i="839"/>
  <c r="E86" i="839"/>
  <c r="E14" i="839" s="1"/>
  <c r="M84" i="839"/>
  <c r="E84" i="839"/>
  <c r="I82" i="839"/>
  <c r="G80" i="839"/>
  <c r="B80" i="839"/>
  <c r="B81" i="839" s="1"/>
  <c r="B82" i="839" s="1"/>
  <c r="B83" i="839" s="1"/>
  <c r="H78" i="839"/>
  <c r="E78" i="839"/>
  <c r="E10" i="839" s="1"/>
  <c r="G76" i="839"/>
  <c r="C74" i="839"/>
  <c r="C75" i="839" s="1"/>
  <c r="B74" i="839"/>
  <c r="B75" i="839" s="1"/>
  <c r="B76" i="839" s="1"/>
  <c r="B77" i="839" s="1"/>
  <c r="H72" i="839"/>
  <c r="H9" i="839" s="1"/>
  <c r="E72" i="839"/>
  <c r="G69" i="839"/>
  <c r="C67" i="839"/>
  <c r="B67" i="839"/>
  <c r="B68" i="839" s="1"/>
  <c r="B69" i="839" s="1"/>
  <c r="B70" i="839" s="1"/>
  <c r="B71" i="839" s="1"/>
  <c r="G66" i="839"/>
  <c r="H65" i="839"/>
  <c r="H8" i="839" s="1"/>
  <c r="E65" i="839"/>
  <c r="E8" i="839" s="1"/>
  <c r="H63" i="839"/>
  <c r="H59" i="839"/>
  <c r="C46" i="839"/>
  <c r="C47" i="839" s="1"/>
  <c r="C48" i="839" s="1"/>
  <c r="C49" i="839" s="1"/>
  <c r="C50" i="839" s="1"/>
  <c r="C51" i="839" s="1"/>
  <c r="B46" i="839"/>
  <c r="B47" i="839" s="1"/>
  <c r="B48" i="839" s="1"/>
  <c r="B49" i="839" s="1"/>
  <c r="B50" i="839" s="1"/>
  <c r="B51" i="839" s="1"/>
  <c r="H43" i="839"/>
  <c r="B41" i="839"/>
  <c r="C37" i="839"/>
  <c r="C38" i="839" s="1"/>
  <c r="C39" i="839" s="1"/>
  <c r="C40" i="839" s="1"/>
  <c r="C41" i="839" s="1"/>
  <c r="B37" i="839"/>
  <c r="B38" i="839" s="1"/>
  <c r="B39" i="839" s="1"/>
  <c r="B40" i="839" s="1"/>
  <c r="H33" i="839"/>
  <c r="C30" i="839"/>
  <c r="C31" i="839" s="1"/>
  <c r="C27" i="839"/>
  <c r="B27" i="839"/>
  <c r="B28" i="839" s="1"/>
  <c r="B29" i="839" s="1"/>
  <c r="B30" i="839" s="1"/>
  <c r="B31" i="839" s="1"/>
  <c r="H25" i="839"/>
  <c r="E25" i="839"/>
  <c r="E7" i="839" s="1"/>
  <c r="M20" i="839"/>
  <c r="K14" i="839"/>
  <c r="G14" i="839"/>
  <c r="F14" i="839"/>
  <c r="K10" i="839"/>
  <c r="H10" i="839"/>
  <c r="G10" i="839"/>
  <c r="G11" i="839" s="1"/>
  <c r="E2" i="839" s="1"/>
  <c r="F10" i="839"/>
  <c r="F11" i="839" s="1"/>
  <c r="K9" i="839"/>
  <c r="E9" i="839"/>
  <c r="K8" i="839"/>
  <c r="K7" i="839"/>
  <c r="G63" i="842" l="1"/>
  <c r="G65" i="842"/>
  <c r="G8" i="842" s="1"/>
  <c r="G59" i="842"/>
  <c r="L40" i="841"/>
  <c r="G40" i="841" s="1"/>
  <c r="L70" i="841"/>
  <c r="G70" i="841" s="1"/>
  <c r="G52" i="842"/>
  <c r="E95" i="839"/>
  <c r="E11" i="839"/>
  <c r="G43" i="842"/>
  <c r="G84" i="844"/>
  <c r="G7" i="844"/>
  <c r="G25" i="843"/>
  <c r="G7" i="843" s="1"/>
  <c r="G72" i="842"/>
  <c r="G9" i="842" s="1"/>
  <c r="L82" i="842"/>
  <c r="G82" i="842" s="1"/>
  <c r="F84" i="842"/>
  <c r="G95" i="842" s="1"/>
  <c r="G33" i="842"/>
  <c r="L73" i="841"/>
  <c r="G73" i="841" s="1"/>
  <c r="L61" i="841"/>
  <c r="G61" i="841" s="1"/>
  <c r="L68" i="841"/>
  <c r="G68" i="841" s="1"/>
  <c r="L47" i="841"/>
  <c r="G47" i="841" s="1"/>
  <c r="L46" i="841"/>
  <c r="G46" i="841" s="1"/>
  <c r="L51" i="841"/>
  <c r="G51" i="841" s="1"/>
  <c r="L39" i="841"/>
  <c r="G39" i="841" s="1"/>
  <c r="L75" i="841"/>
  <c r="G75" i="841" s="1"/>
  <c r="L57" i="841"/>
  <c r="G57" i="841" s="1"/>
  <c r="F82" i="841"/>
  <c r="F83" i="841"/>
  <c r="L83" i="841" s="1"/>
  <c r="G83" i="841" s="1"/>
  <c r="L59" i="841"/>
  <c r="L58" i="841"/>
  <c r="L60" i="841"/>
  <c r="L62" i="841"/>
  <c r="G62" i="841" s="1"/>
  <c r="L27" i="841"/>
  <c r="G27" i="841" s="1"/>
  <c r="L55" i="841"/>
  <c r="G55" i="841" s="1"/>
  <c r="L38" i="841"/>
  <c r="G38" i="841" s="1"/>
  <c r="L41" i="841"/>
  <c r="G41" i="841" s="1"/>
  <c r="L26" i="841"/>
  <c r="G26" i="841" s="1"/>
  <c r="L71" i="841"/>
  <c r="G71" i="841" s="1"/>
  <c r="L37" i="841"/>
  <c r="G37" i="841" s="1"/>
  <c r="L50" i="841"/>
  <c r="G50" i="841" s="1"/>
  <c r="L36" i="841"/>
  <c r="G36" i="841" s="1"/>
  <c r="L49" i="841"/>
  <c r="G49" i="841" s="1"/>
  <c r="L74" i="841"/>
  <c r="G74" i="841" s="1"/>
  <c r="L31" i="841"/>
  <c r="G31" i="841" s="1"/>
  <c r="L48" i="841"/>
  <c r="G48" i="841" s="1"/>
  <c r="L67" i="841"/>
  <c r="G67" i="841" s="1"/>
  <c r="L56" i="841"/>
  <c r="G56" i="841" s="1"/>
  <c r="L77" i="841"/>
  <c r="G77" i="841" s="1"/>
  <c r="L29" i="841"/>
  <c r="G29" i="841" s="1"/>
  <c r="L45" i="841"/>
  <c r="G45" i="841" s="1"/>
  <c r="F65" i="840"/>
  <c r="F8" i="840" s="1"/>
  <c r="L20" i="840"/>
  <c r="L41" i="840" s="1"/>
  <c r="G41" i="840" s="1"/>
  <c r="F72" i="840"/>
  <c r="F9" i="840" s="1"/>
  <c r="F25" i="840"/>
  <c r="F7" i="840" s="1"/>
  <c r="L48" i="840"/>
  <c r="G48" i="840" s="1"/>
  <c r="H84" i="839"/>
  <c r="H7" i="839"/>
  <c r="H11" i="839" s="1"/>
  <c r="K84" i="839" s="1"/>
  <c r="F73" i="839"/>
  <c r="F61" i="839"/>
  <c r="F57" i="839"/>
  <c r="F49" i="839"/>
  <c r="F47" i="839"/>
  <c r="F77" i="839"/>
  <c r="F68" i="839"/>
  <c r="F67" i="839"/>
  <c r="F62" i="839"/>
  <c r="F46" i="839"/>
  <c r="F75" i="839"/>
  <c r="F55" i="839"/>
  <c r="F51" i="839"/>
  <c r="F45" i="839"/>
  <c r="F38" i="839"/>
  <c r="F50" i="839"/>
  <c r="F41" i="839"/>
  <c r="F37" i="839"/>
  <c r="F71" i="839"/>
  <c r="F56" i="839"/>
  <c r="F40" i="839"/>
  <c r="F36" i="839"/>
  <c r="F30" i="839"/>
  <c r="F26" i="839"/>
  <c r="F31" i="839"/>
  <c r="F70" i="839"/>
  <c r="F27" i="839"/>
  <c r="F39" i="839"/>
  <c r="F74" i="839"/>
  <c r="F29" i="839"/>
  <c r="F48" i="839"/>
  <c r="H93" i="838"/>
  <c r="H17" i="838" s="1"/>
  <c r="J91" i="838"/>
  <c r="I91" i="838"/>
  <c r="G91" i="838"/>
  <c r="G86" i="838" s="1"/>
  <c r="J90" i="838"/>
  <c r="I90" i="838"/>
  <c r="J89" i="838"/>
  <c r="I89" i="838"/>
  <c r="B88" i="838"/>
  <c r="B89" i="838" s="1"/>
  <c r="B90" i="838" s="1"/>
  <c r="B91" i="838" s="1"/>
  <c r="J87" i="838"/>
  <c r="H86" i="838"/>
  <c r="H14" i="838" s="1"/>
  <c r="F86" i="838"/>
  <c r="E86" i="838"/>
  <c r="M84" i="838"/>
  <c r="E84" i="838"/>
  <c r="I82" i="838"/>
  <c r="G80" i="838"/>
  <c r="B80" i="838"/>
  <c r="B81" i="838" s="1"/>
  <c r="B82" i="838" s="1"/>
  <c r="B83" i="838" s="1"/>
  <c r="H78" i="838"/>
  <c r="H10" i="838" s="1"/>
  <c r="E78" i="838"/>
  <c r="E10" i="838" s="1"/>
  <c r="G76" i="838"/>
  <c r="C74" i="838"/>
  <c r="C75" i="838" s="1"/>
  <c r="B74" i="838"/>
  <c r="B75" i="838" s="1"/>
  <c r="B76" i="838" s="1"/>
  <c r="B77" i="838" s="1"/>
  <c r="H72" i="838"/>
  <c r="H9" i="838" s="1"/>
  <c r="E72" i="838"/>
  <c r="E9" i="838" s="1"/>
  <c r="G69" i="838"/>
  <c r="C67" i="838"/>
  <c r="B67" i="838"/>
  <c r="B68" i="838" s="1"/>
  <c r="B69" i="838" s="1"/>
  <c r="B70" i="838" s="1"/>
  <c r="B71" i="838" s="1"/>
  <c r="G66" i="838"/>
  <c r="H65" i="838"/>
  <c r="H8" i="838" s="1"/>
  <c r="E65" i="838"/>
  <c r="H63" i="838"/>
  <c r="H59" i="838"/>
  <c r="C46" i="838"/>
  <c r="C47" i="838" s="1"/>
  <c r="C48" i="838" s="1"/>
  <c r="C49" i="838" s="1"/>
  <c r="C50" i="838" s="1"/>
  <c r="C51" i="838" s="1"/>
  <c r="B46" i="838"/>
  <c r="B47" i="838" s="1"/>
  <c r="B48" i="838" s="1"/>
  <c r="B49" i="838" s="1"/>
  <c r="B50" i="838" s="1"/>
  <c r="B51" i="838" s="1"/>
  <c r="H43" i="838"/>
  <c r="C37" i="838"/>
  <c r="C38" i="838" s="1"/>
  <c r="C39" i="838" s="1"/>
  <c r="C40" i="838" s="1"/>
  <c r="C41" i="838" s="1"/>
  <c r="B37" i="838"/>
  <c r="B38" i="838" s="1"/>
  <c r="B39" i="838" s="1"/>
  <c r="B40" i="838" s="1"/>
  <c r="B41" i="838" s="1"/>
  <c r="H33" i="838"/>
  <c r="C30" i="838"/>
  <c r="C31" i="838" s="1"/>
  <c r="C27" i="838"/>
  <c r="B27" i="838"/>
  <c r="B28" i="838" s="1"/>
  <c r="B29" i="838" s="1"/>
  <c r="B30" i="838" s="1"/>
  <c r="B31" i="838" s="1"/>
  <c r="H25" i="838"/>
  <c r="E25" i="838"/>
  <c r="E7" i="838" s="1"/>
  <c r="M20" i="838"/>
  <c r="K14" i="838"/>
  <c r="G14" i="838"/>
  <c r="F14" i="838"/>
  <c r="E14" i="838"/>
  <c r="K10" i="838"/>
  <c r="G10" i="838"/>
  <c r="G11" i="838" s="1"/>
  <c r="E2" i="838" s="1"/>
  <c r="F10" i="838"/>
  <c r="F11" i="838" s="1"/>
  <c r="K9" i="838"/>
  <c r="K8" i="838"/>
  <c r="E8" i="838"/>
  <c r="K7" i="838"/>
  <c r="G63" i="841" l="1"/>
  <c r="G25" i="842"/>
  <c r="L49" i="840"/>
  <c r="G49" i="840" s="1"/>
  <c r="G84" i="843"/>
  <c r="E11" i="838"/>
  <c r="L77" i="840"/>
  <c r="G77" i="840" s="1"/>
  <c r="L31" i="840"/>
  <c r="G31" i="840" s="1"/>
  <c r="L37" i="840"/>
  <c r="G37" i="840" s="1"/>
  <c r="E95" i="838"/>
  <c r="L55" i="840"/>
  <c r="G55" i="840" s="1"/>
  <c r="L62" i="840"/>
  <c r="G62" i="840" s="1"/>
  <c r="L61" i="840"/>
  <c r="G61" i="840" s="1"/>
  <c r="G63" i="840" s="1"/>
  <c r="G84" i="842"/>
  <c r="G7" i="842"/>
  <c r="G72" i="841"/>
  <c r="G9" i="841" s="1"/>
  <c r="G52" i="841"/>
  <c r="G43" i="841"/>
  <c r="G65" i="841"/>
  <c r="G8" i="841" s="1"/>
  <c r="G59" i="841"/>
  <c r="G33" i="841"/>
  <c r="L82" i="841"/>
  <c r="G82" i="841" s="1"/>
  <c r="F84" i="841"/>
  <c r="G95" i="841" s="1"/>
  <c r="L27" i="840"/>
  <c r="G27" i="840" s="1"/>
  <c r="L50" i="840"/>
  <c r="G50" i="840" s="1"/>
  <c r="L47" i="840"/>
  <c r="G47" i="840" s="1"/>
  <c r="L73" i="840"/>
  <c r="G73" i="840" s="1"/>
  <c r="L30" i="840"/>
  <c r="G30" i="840" s="1"/>
  <c r="L36" i="840"/>
  <c r="G36" i="840" s="1"/>
  <c r="L45" i="840"/>
  <c r="G45" i="840" s="1"/>
  <c r="L70" i="840"/>
  <c r="G70" i="840" s="1"/>
  <c r="L26" i="840"/>
  <c r="G26" i="840" s="1"/>
  <c r="L51" i="840"/>
  <c r="G51" i="840" s="1"/>
  <c r="L75" i="840"/>
  <c r="G75" i="840" s="1"/>
  <c r="L56" i="840"/>
  <c r="G56" i="840" s="1"/>
  <c r="L68" i="840"/>
  <c r="G68" i="840" s="1"/>
  <c r="L60" i="840"/>
  <c r="L58" i="840"/>
  <c r="L59" i="840"/>
  <c r="F83" i="840"/>
  <c r="L83" i="840" s="1"/>
  <c r="G83" i="840" s="1"/>
  <c r="F82" i="840"/>
  <c r="L29" i="840"/>
  <c r="G29" i="840" s="1"/>
  <c r="L57" i="840"/>
  <c r="G57" i="840" s="1"/>
  <c r="G59" i="840" s="1"/>
  <c r="L67" i="840"/>
  <c r="G67" i="840" s="1"/>
  <c r="L71" i="840"/>
  <c r="G71" i="840" s="1"/>
  <c r="L40" i="840"/>
  <c r="G40" i="840" s="1"/>
  <c r="L39" i="840"/>
  <c r="G39" i="840" s="1"/>
  <c r="L38" i="840"/>
  <c r="G38" i="840" s="1"/>
  <c r="L74" i="840"/>
  <c r="G74" i="840" s="1"/>
  <c r="L46" i="840"/>
  <c r="G46" i="840" s="1"/>
  <c r="L20" i="839"/>
  <c r="L75" i="839" s="1"/>
  <c r="G75" i="839" s="1"/>
  <c r="F25" i="839"/>
  <c r="F7" i="839" s="1"/>
  <c r="F65" i="839"/>
  <c r="F8" i="839" s="1"/>
  <c r="L45" i="839"/>
  <c r="G45" i="839" s="1"/>
  <c r="L51" i="839"/>
  <c r="G51" i="839" s="1"/>
  <c r="L46" i="839"/>
  <c r="G46" i="839" s="1"/>
  <c r="F72" i="839"/>
  <c r="F9" i="839" s="1"/>
  <c r="H84" i="838"/>
  <c r="H7" i="838"/>
  <c r="H11" i="838" s="1"/>
  <c r="K84" i="838" s="1"/>
  <c r="F27" i="838"/>
  <c r="F29" i="838"/>
  <c r="F73" i="838"/>
  <c r="F61" i="838"/>
  <c r="F57" i="838"/>
  <c r="F49" i="838"/>
  <c r="F47" i="838"/>
  <c r="F77" i="838"/>
  <c r="F68" i="838"/>
  <c r="F67" i="838"/>
  <c r="F62" i="838"/>
  <c r="F46" i="838"/>
  <c r="F75" i="838"/>
  <c r="F55" i="838"/>
  <c r="F51" i="838"/>
  <c r="F45" i="838"/>
  <c r="F50" i="838"/>
  <c r="F41" i="838"/>
  <c r="F37" i="838"/>
  <c r="F71" i="838"/>
  <c r="F56" i="838"/>
  <c r="F40" i="838"/>
  <c r="F36" i="838"/>
  <c r="F74" i="838"/>
  <c r="F70" i="838"/>
  <c r="F48" i="838"/>
  <c r="F39" i="838"/>
  <c r="F30" i="838"/>
  <c r="F26" i="838"/>
  <c r="F31" i="838"/>
  <c r="F38" i="838"/>
  <c r="C41" i="837"/>
  <c r="H93" i="837"/>
  <c r="J91" i="837"/>
  <c r="I91" i="837"/>
  <c r="G91" i="837"/>
  <c r="G86" i="837" s="1"/>
  <c r="J90" i="837"/>
  <c r="I90" i="837"/>
  <c r="J89" i="837"/>
  <c r="I89" i="837"/>
  <c r="B88" i="837"/>
  <c r="B89" i="837" s="1"/>
  <c r="B90" i="837" s="1"/>
  <c r="B91" i="837" s="1"/>
  <c r="J87" i="837"/>
  <c r="H86" i="837"/>
  <c r="H14" i="837" s="1"/>
  <c r="F86" i="837"/>
  <c r="E86" i="837"/>
  <c r="E14" i="837" s="1"/>
  <c r="M84" i="837"/>
  <c r="E84" i="837"/>
  <c r="I82" i="837"/>
  <c r="G80" i="837"/>
  <c r="B80" i="837"/>
  <c r="B81" i="837" s="1"/>
  <c r="B82" i="837" s="1"/>
  <c r="B83" i="837" s="1"/>
  <c r="H78" i="837"/>
  <c r="H10" i="837" s="1"/>
  <c r="E78" i="837"/>
  <c r="E10" i="837" s="1"/>
  <c r="G76" i="837"/>
  <c r="C74" i="837"/>
  <c r="C75" i="837" s="1"/>
  <c r="B74" i="837"/>
  <c r="B75" i="837" s="1"/>
  <c r="B76" i="837" s="1"/>
  <c r="B77" i="837" s="1"/>
  <c r="H72" i="837"/>
  <c r="H9" i="837" s="1"/>
  <c r="E72" i="837"/>
  <c r="G69" i="837"/>
  <c r="C67" i="837"/>
  <c r="B67" i="837"/>
  <c r="B68" i="837" s="1"/>
  <c r="B69" i="837" s="1"/>
  <c r="B70" i="837" s="1"/>
  <c r="B71" i="837" s="1"/>
  <c r="G66" i="837"/>
  <c r="H65" i="837"/>
  <c r="H8" i="837" s="1"/>
  <c r="E65" i="837"/>
  <c r="E8" i="837" s="1"/>
  <c r="H63" i="837"/>
  <c r="H59" i="837"/>
  <c r="C46" i="837"/>
  <c r="C47" i="837" s="1"/>
  <c r="C48" i="837" s="1"/>
  <c r="C49" i="837" s="1"/>
  <c r="C50" i="837" s="1"/>
  <c r="C51" i="837" s="1"/>
  <c r="B46" i="837"/>
  <c r="B47" i="837" s="1"/>
  <c r="B48" i="837" s="1"/>
  <c r="B49" i="837" s="1"/>
  <c r="B50" i="837" s="1"/>
  <c r="B51" i="837" s="1"/>
  <c r="H43" i="837"/>
  <c r="C37" i="837"/>
  <c r="C38" i="837" s="1"/>
  <c r="C39" i="837" s="1"/>
  <c r="C40" i="837" s="1"/>
  <c r="B37" i="837"/>
  <c r="B38" i="837" s="1"/>
  <c r="B39" i="837" s="1"/>
  <c r="B40" i="837" s="1"/>
  <c r="B41" i="837" s="1"/>
  <c r="H33" i="837"/>
  <c r="C30" i="837"/>
  <c r="C31" i="837" s="1"/>
  <c r="C27" i="837"/>
  <c r="B27" i="837"/>
  <c r="B28" i="837" s="1"/>
  <c r="B29" i="837" s="1"/>
  <c r="B30" i="837" s="1"/>
  <c r="B31" i="837" s="1"/>
  <c r="H25" i="837"/>
  <c r="E25" i="837"/>
  <c r="E7" i="837" s="1"/>
  <c r="M20" i="837"/>
  <c r="H17" i="837"/>
  <c r="K14" i="837"/>
  <c r="G14" i="837"/>
  <c r="F14" i="837"/>
  <c r="K10" i="837"/>
  <c r="G10" i="837"/>
  <c r="G11" i="837" s="1"/>
  <c r="E2" i="837" s="1"/>
  <c r="F10" i="837"/>
  <c r="F11" i="837" s="1"/>
  <c r="K9" i="837"/>
  <c r="E9" i="837"/>
  <c r="K8" i="837"/>
  <c r="K7" i="837"/>
  <c r="F39" i="837" l="1"/>
  <c r="G52" i="840"/>
  <c r="L37" i="839"/>
  <c r="G37" i="839" s="1"/>
  <c r="L77" i="839"/>
  <c r="G77" i="839" s="1"/>
  <c r="E11" i="837"/>
  <c r="L70" i="839"/>
  <c r="G70" i="839" s="1"/>
  <c r="L31" i="839"/>
  <c r="G31" i="839" s="1"/>
  <c r="L27" i="839"/>
  <c r="G27" i="839" s="1"/>
  <c r="L39" i="839"/>
  <c r="G39" i="839" s="1"/>
  <c r="L67" i="839"/>
  <c r="G67" i="839" s="1"/>
  <c r="L73" i="839"/>
  <c r="G73" i="839" s="1"/>
  <c r="L47" i="839"/>
  <c r="G47" i="839" s="1"/>
  <c r="L71" i="839"/>
  <c r="G71" i="839" s="1"/>
  <c r="L49" i="839"/>
  <c r="G49" i="839" s="1"/>
  <c r="L30" i="839"/>
  <c r="G30" i="839" s="1"/>
  <c r="L38" i="839"/>
  <c r="G38" i="839" s="1"/>
  <c r="L41" i="839"/>
  <c r="G41" i="839" s="1"/>
  <c r="L29" i="839"/>
  <c r="G29" i="839" s="1"/>
  <c r="L57" i="839"/>
  <c r="G57" i="839" s="1"/>
  <c r="L74" i="839"/>
  <c r="G74" i="839" s="1"/>
  <c r="L56" i="839"/>
  <c r="G56" i="839" s="1"/>
  <c r="L68" i="839"/>
  <c r="G68" i="839" s="1"/>
  <c r="L40" i="839"/>
  <c r="G40" i="839" s="1"/>
  <c r="L48" i="839"/>
  <c r="G48" i="839" s="1"/>
  <c r="L36" i="839"/>
  <c r="G36" i="839" s="1"/>
  <c r="G43" i="839" s="1"/>
  <c r="L50" i="839"/>
  <c r="G50" i="839" s="1"/>
  <c r="L61" i="839"/>
  <c r="G61" i="839" s="1"/>
  <c r="L62" i="839"/>
  <c r="G62" i="839" s="1"/>
  <c r="L55" i="839"/>
  <c r="G55" i="839" s="1"/>
  <c r="G25" i="841"/>
  <c r="G33" i="840"/>
  <c r="G72" i="840"/>
  <c r="G9" i="840" s="1"/>
  <c r="G43" i="840"/>
  <c r="G65" i="840"/>
  <c r="G8" i="840" s="1"/>
  <c r="L82" i="840"/>
  <c r="G82" i="840" s="1"/>
  <c r="F84" i="840"/>
  <c r="G95" i="840" s="1"/>
  <c r="F82" i="839"/>
  <c r="L60" i="839"/>
  <c r="L58" i="839"/>
  <c r="L59" i="839"/>
  <c r="F83" i="839"/>
  <c r="L83" i="839" s="1"/>
  <c r="G83" i="839" s="1"/>
  <c r="L26" i="839"/>
  <c r="G26" i="839" s="1"/>
  <c r="L20" i="838"/>
  <c r="L70" i="838" s="1"/>
  <c r="G70" i="838" s="1"/>
  <c r="F72" i="838"/>
  <c r="F9" i="838" s="1"/>
  <c r="F65" i="838"/>
  <c r="F8" i="838" s="1"/>
  <c r="F25" i="838"/>
  <c r="F7" i="838" s="1"/>
  <c r="F27" i="837"/>
  <c r="F57" i="837"/>
  <c r="H84" i="837"/>
  <c r="H7" i="837"/>
  <c r="H11" i="837" s="1"/>
  <c r="K84" i="837" s="1"/>
  <c r="F29" i="837"/>
  <c r="F40" i="837"/>
  <c r="F77" i="837"/>
  <c r="F68" i="837"/>
  <c r="F67" i="837"/>
  <c r="F62" i="837"/>
  <c r="F46" i="837"/>
  <c r="F75" i="837"/>
  <c r="F55" i="837"/>
  <c r="F51" i="837"/>
  <c r="F45" i="837"/>
  <c r="F74" i="837"/>
  <c r="F71" i="837"/>
  <c r="F70" i="837"/>
  <c r="F56" i="837"/>
  <c r="F50" i="837"/>
  <c r="F48" i="837"/>
  <c r="F41" i="837"/>
  <c r="F73" i="837"/>
  <c r="F61" i="837"/>
  <c r="F49" i="837"/>
  <c r="F37" i="837"/>
  <c r="F36" i="837"/>
  <c r="F47" i="837"/>
  <c r="F30" i="837"/>
  <c r="E95" i="837"/>
  <c r="F26" i="837"/>
  <c r="F31" i="837"/>
  <c r="F38" i="837"/>
  <c r="H92" i="836"/>
  <c r="H17" i="836" s="1"/>
  <c r="J90" i="836"/>
  <c r="I90" i="836"/>
  <c r="G90" i="836"/>
  <c r="G85" i="836" s="1"/>
  <c r="J89" i="836"/>
  <c r="I89" i="836"/>
  <c r="J88" i="836"/>
  <c r="I88" i="836"/>
  <c r="B87" i="836"/>
  <c r="B88" i="836" s="1"/>
  <c r="B89" i="836" s="1"/>
  <c r="B90" i="836" s="1"/>
  <c r="J86" i="836"/>
  <c r="H85" i="836"/>
  <c r="H14" i="836" s="1"/>
  <c r="F85" i="836"/>
  <c r="E85" i="836"/>
  <c r="E14" i="836" s="1"/>
  <c r="M83" i="836"/>
  <c r="E83" i="836"/>
  <c r="I81" i="836"/>
  <c r="G79" i="836"/>
  <c r="B79" i="836"/>
  <c r="B80" i="836" s="1"/>
  <c r="B81" i="836" s="1"/>
  <c r="B82" i="836" s="1"/>
  <c r="H77" i="836"/>
  <c r="H10" i="836" s="1"/>
  <c r="E77" i="836"/>
  <c r="E10" i="836" s="1"/>
  <c r="C73" i="836"/>
  <c r="C74" i="836" s="1"/>
  <c r="C75" i="836" s="1"/>
  <c r="B73" i="836"/>
  <c r="B74" i="836" s="1"/>
  <c r="B75" i="836" s="1"/>
  <c r="B76" i="836" s="1"/>
  <c r="H71" i="836"/>
  <c r="H9" i="836" s="1"/>
  <c r="E71" i="836"/>
  <c r="E9" i="836" s="1"/>
  <c r="G68" i="836"/>
  <c r="C66" i="836"/>
  <c r="B66" i="836"/>
  <c r="B67" i="836" s="1"/>
  <c r="B68" i="836" s="1"/>
  <c r="B69" i="836" s="1"/>
  <c r="B70" i="836" s="1"/>
  <c r="G65" i="836"/>
  <c r="H64" i="836"/>
  <c r="H8" i="836" s="1"/>
  <c r="E64" i="836"/>
  <c r="E8" i="836" s="1"/>
  <c r="H62" i="836"/>
  <c r="H58" i="836"/>
  <c r="C45" i="836"/>
  <c r="C46" i="836" s="1"/>
  <c r="C47" i="836" s="1"/>
  <c r="C48" i="836" s="1"/>
  <c r="C49" i="836" s="1"/>
  <c r="C50" i="836" s="1"/>
  <c r="B45" i="836"/>
  <c r="B46" i="836" s="1"/>
  <c r="B47" i="836" s="1"/>
  <c r="B48" i="836" s="1"/>
  <c r="B49" i="836" s="1"/>
  <c r="B50" i="836" s="1"/>
  <c r="H42" i="836"/>
  <c r="C37" i="836"/>
  <c r="C38" i="836" s="1"/>
  <c r="C39" i="836" s="1"/>
  <c r="C40" i="836" s="1"/>
  <c r="B37" i="836"/>
  <c r="B38" i="836" s="1"/>
  <c r="B39" i="836" s="1"/>
  <c r="B40" i="836" s="1"/>
  <c r="H33" i="836"/>
  <c r="C30" i="836"/>
  <c r="C31" i="836" s="1"/>
  <c r="C27" i="836"/>
  <c r="B27" i="836"/>
  <c r="B28" i="836" s="1"/>
  <c r="B29" i="836" s="1"/>
  <c r="B30" i="836" s="1"/>
  <c r="B31" i="836" s="1"/>
  <c r="H25" i="836"/>
  <c r="H7" i="836" s="1"/>
  <c r="E25" i="836"/>
  <c r="E7" i="836" s="1"/>
  <c r="M20" i="836"/>
  <c r="K14" i="836"/>
  <c r="G14" i="836"/>
  <c r="F14" i="836"/>
  <c r="K10" i="836"/>
  <c r="G10" i="836"/>
  <c r="G11" i="836" s="1"/>
  <c r="E2" i="836" s="1"/>
  <c r="F10" i="836"/>
  <c r="F11" i="836" s="1"/>
  <c r="K9" i="836"/>
  <c r="K8" i="836"/>
  <c r="K7" i="836"/>
  <c r="L29" i="838" l="1"/>
  <c r="G29" i="838" s="1"/>
  <c r="L26" i="838"/>
  <c r="G26" i="838" s="1"/>
  <c r="G25" i="840"/>
  <c r="G7" i="840" s="1"/>
  <c r="G63" i="839"/>
  <c r="G52" i="839"/>
  <c r="L31" i="838"/>
  <c r="G31" i="838" s="1"/>
  <c r="L38" i="838"/>
  <c r="G38" i="838" s="1"/>
  <c r="E11" i="836"/>
  <c r="L27" i="838"/>
  <c r="G27" i="838" s="1"/>
  <c r="L50" i="838"/>
  <c r="G50" i="838" s="1"/>
  <c r="L40" i="838"/>
  <c r="G40" i="838" s="1"/>
  <c r="L57" i="838"/>
  <c r="G57" i="838" s="1"/>
  <c r="L61" i="838"/>
  <c r="G61" i="838" s="1"/>
  <c r="G63" i="838" s="1"/>
  <c r="L71" i="838"/>
  <c r="G71" i="838" s="1"/>
  <c r="L47" i="838"/>
  <c r="G47" i="838" s="1"/>
  <c r="L49" i="838"/>
  <c r="G49" i="838" s="1"/>
  <c r="L77" i="838"/>
  <c r="G77" i="838" s="1"/>
  <c r="L73" i="838"/>
  <c r="G73" i="838" s="1"/>
  <c r="L62" i="838"/>
  <c r="G62" i="838" s="1"/>
  <c r="L48" i="838"/>
  <c r="G48" i="838" s="1"/>
  <c r="L55" i="838"/>
  <c r="G55" i="838" s="1"/>
  <c r="G59" i="839"/>
  <c r="L45" i="838"/>
  <c r="G45" i="838" s="1"/>
  <c r="L39" i="838"/>
  <c r="G39" i="838" s="1"/>
  <c r="L37" i="838"/>
  <c r="G37" i="838" s="1"/>
  <c r="G65" i="839"/>
  <c r="G8" i="839" s="1"/>
  <c r="L68" i="838"/>
  <c r="G68" i="838" s="1"/>
  <c r="G72" i="839"/>
  <c r="G9" i="839" s="1"/>
  <c r="L67" i="838"/>
  <c r="G67" i="838" s="1"/>
  <c r="L46" i="838"/>
  <c r="G46" i="838" s="1"/>
  <c r="L75" i="838"/>
  <c r="G75" i="838" s="1"/>
  <c r="L30" i="838"/>
  <c r="G30" i="838" s="1"/>
  <c r="G84" i="841"/>
  <c r="G7" i="841"/>
  <c r="G33" i="839"/>
  <c r="L82" i="839"/>
  <c r="G82" i="839" s="1"/>
  <c r="F84" i="839"/>
  <c r="G95" i="839" s="1"/>
  <c r="L74" i="838"/>
  <c r="G74" i="838" s="1"/>
  <c r="L36" i="838"/>
  <c r="G36" i="838" s="1"/>
  <c r="F82" i="838"/>
  <c r="L60" i="838"/>
  <c r="L58" i="838"/>
  <c r="L59" i="838"/>
  <c r="F83" i="838"/>
  <c r="L83" i="838" s="1"/>
  <c r="G83" i="838" s="1"/>
  <c r="L51" i="838"/>
  <c r="G51" i="838" s="1"/>
  <c r="L41" i="838"/>
  <c r="G41" i="838" s="1"/>
  <c r="L56" i="838"/>
  <c r="G56" i="838" s="1"/>
  <c r="L20" i="837"/>
  <c r="F72" i="837"/>
  <c r="F9" i="837" s="1"/>
  <c r="F65" i="837"/>
  <c r="F8" i="837" s="1"/>
  <c r="F25" i="837"/>
  <c r="F7" i="837" s="1"/>
  <c r="H11" i="836"/>
  <c r="K83" i="836" s="1"/>
  <c r="H83" i="836"/>
  <c r="F76" i="836"/>
  <c r="F75" i="836"/>
  <c r="F67" i="836"/>
  <c r="F66" i="836"/>
  <c r="F61" i="836"/>
  <c r="F45" i="836"/>
  <c r="F74" i="836"/>
  <c r="F54" i="836"/>
  <c r="F50" i="836"/>
  <c r="F48" i="836"/>
  <c r="F44" i="836"/>
  <c r="F73" i="836"/>
  <c r="F70" i="836"/>
  <c r="F69" i="836"/>
  <c r="F55" i="836"/>
  <c r="F49" i="836"/>
  <c r="F47" i="836"/>
  <c r="F40" i="836"/>
  <c r="F36" i="836"/>
  <c r="F72" i="836"/>
  <c r="F60" i="836"/>
  <c r="F39" i="836"/>
  <c r="F38" i="836"/>
  <c r="F37" i="836"/>
  <c r="F30" i="836"/>
  <c r="F56" i="836"/>
  <c r="F26" i="836"/>
  <c r="F31" i="836"/>
  <c r="F27" i="836"/>
  <c r="F46" i="836"/>
  <c r="F29" i="836"/>
  <c r="E94" i="836"/>
  <c r="H92" i="835"/>
  <c r="H17" i="835" s="1"/>
  <c r="J90" i="835"/>
  <c r="I90" i="835"/>
  <c r="G90" i="835"/>
  <c r="G85" i="835" s="1"/>
  <c r="J89" i="835"/>
  <c r="I89" i="835"/>
  <c r="J88" i="835"/>
  <c r="I88" i="835"/>
  <c r="B87" i="835"/>
  <c r="B88" i="835" s="1"/>
  <c r="B89" i="835" s="1"/>
  <c r="B90" i="835" s="1"/>
  <c r="J86" i="835"/>
  <c r="H85" i="835"/>
  <c r="H14" i="835" s="1"/>
  <c r="F85" i="835"/>
  <c r="E85" i="835"/>
  <c r="E14" i="835" s="1"/>
  <c r="M83" i="835"/>
  <c r="E83" i="835"/>
  <c r="I81" i="835"/>
  <c r="G79" i="835"/>
  <c r="B79" i="835"/>
  <c r="B80" i="835" s="1"/>
  <c r="B81" i="835" s="1"/>
  <c r="B82" i="835" s="1"/>
  <c r="H77" i="835"/>
  <c r="H10" i="835" s="1"/>
  <c r="E77" i="835"/>
  <c r="C73" i="835"/>
  <c r="C74" i="835" s="1"/>
  <c r="C75" i="835" s="1"/>
  <c r="B73" i="835"/>
  <c r="B74" i="835" s="1"/>
  <c r="B75" i="835" s="1"/>
  <c r="B76" i="835" s="1"/>
  <c r="H71" i="835"/>
  <c r="H9" i="835" s="1"/>
  <c r="E71" i="835"/>
  <c r="E9" i="835" s="1"/>
  <c r="G68" i="835"/>
  <c r="C66" i="835"/>
  <c r="B66" i="835"/>
  <c r="B67" i="835" s="1"/>
  <c r="B68" i="835" s="1"/>
  <c r="B69" i="835" s="1"/>
  <c r="B70" i="835" s="1"/>
  <c r="G65" i="835"/>
  <c r="H64" i="835"/>
  <c r="H8" i="835" s="1"/>
  <c r="E64" i="835"/>
  <c r="E8" i="835" s="1"/>
  <c r="H62" i="835"/>
  <c r="H58" i="835"/>
  <c r="C45" i="835"/>
  <c r="C46" i="835" s="1"/>
  <c r="C47" i="835" s="1"/>
  <c r="C48" i="835" s="1"/>
  <c r="C49" i="835" s="1"/>
  <c r="C50" i="835" s="1"/>
  <c r="B45" i="835"/>
  <c r="B46" i="835" s="1"/>
  <c r="B47" i="835" s="1"/>
  <c r="B48" i="835" s="1"/>
  <c r="B49" i="835" s="1"/>
  <c r="B50" i="835" s="1"/>
  <c r="H42" i="835"/>
  <c r="C37" i="835"/>
  <c r="C38" i="835" s="1"/>
  <c r="C39" i="835" s="1"/>
  <c r="C40" i="835" s="1"/>
  <c r="B37" i="835"/>
  <c r="B38" i="835" s="1"/>
  <c r="B39" i="835" s="1"/>
  <c r="B40" i="835" s="1"/>
  <c r="H33" i="835"/>
  <c r="C30" i="835"/>
  <c r="C31" i="835" s="1"/>
  <c r="C27" i="835"/>
  <c r="B27" i="835"/>
  <c r="B28" i="835" s="1"/>
  <c r="B29" i="835" s="1"/>
  <c r="B30" i="835" s="1"/>
  <c r="B31" i="835" s="1"/>
  <c r="H25" i="835"/>
  <c r="E25" i="835"/>
  <c r="E7" i="835" s="1"/>
  <c r="M20" i="835"/>
  <c r="K14" i="835"/>
  <c r="G14" i="835"/>
  <c r="F14" i="835"/>
  <c r="K10" i="835"/>
  <c r="G10" i="835"/>
  <c r="G11" i="835" s="1"/>
  <c r="E2" i="835" s="1"/>
  <c r="F10" i="835"/>
  <c r="F11" i="835" s="1"/>
  <c r="E10" i="835"/>
  <c r="K9" i="835"/>
  <c r="K8" i="835"/>
  <c r="K7" i="835"/>
  <c r="G84" i="840" l="1"/>
  <c r="G72" i="838"/>
  <c r="G9" i="838" s="1"/>
  <c r="L41" i="837"/>
  <c r="G41" i="837" s="1"/>
  <c r="G59" i="838"/>
  <c r="G52" i="838"/>
  <c r="G65" i="838"/>
  <c r="G8" i="838" s="1"/>
  <c r="E94" i="835"/>
  <c r="F26" i="835"/>
  <c r="G25" i="839"/>
  <c r="G84" i="839" s="1"/>
  <c r="E11" i="835"/>
  <c r="F31" i="835"/>
  <c r="L40" i="837"/>
  <c r="G40" i="837" s="1"/>
  <c r="G33" i="838"/>
  <c r="L82" i="838"/>
  <c r="G82" i="838" s="1"/>
  <c r="F84" i="838"/>
  <c r="G95" i="838" s="1"/>
  <c r="G43" i="838"/>
  <c r="L26" i="837"/>
  <c r="G26" i="837" s="1"/>
  <c r="L36" i="837"/>
  <c r="G36" i="837" s="1"/>
  <c r="L70" i="837"/>
  <c r="G70" i="837" s="1"/>
  <c r="L62" i="837"/>
  <c r="G62" i="837" s="1"/>
  <c r="L51" i="837"/>
  <c r="G51" i="837" s="1"/>
  <c r="L74" i="837"/>
  <c r="G74" i="837" s="1"/>
  <c r="L49" i="837"/>
  <c r="G49" i="837" s="1"/>
  <c r="L30" i="837"/>
  <c r="G30" i="837" s="1"/>
  <c r="L68" i="837"/>
  <c r="G68" i="837" s="1"/>
  <c r="L55" i="837"/>
  <c r="G55" i="837" s="1"/>
  <c r="L31" i="837"/>
  <c r="G31" i="837" s="1"/>
  <c r="L37" i="837"/>
  <c r="G37" i="837" s="1"/>
  <c r="L60" i="837"/>
  <c r="L58" i="837"/>
  <c r="L59" i="837"/>
  <c r="F83" i="837"/>
  <c r="L83" i="837" s="1"/>
  <c r="G83" i="837" s="1"/>
  <c r="F82" i="837"/>
  <c r="L27" i="837"/>
  <c r="G27" i="837" s="1"/>
  <c r="L57" i="837"/>
  <c r="G57" i="837" s="1"/>
  <c r="L39" i="837"/>
  <c r="G39" i="837" s="1"/>
  <c r="L61" i="837"/>
  <c r="G61" i="837" s="1"/>
  <c r="L50" i="837"/>
  <c r="G50" i="837" s="1"/>
  <c r="L45" i="837"/>
  <c r="G45" i="837" s="1"/>
  <c r="L38" i="837"/>
  <c r="G38" i="837" s="1"/>
  <c r="L67" i="837"/>
  <c r="G67" i="837" s="1"/>
  <c r="L48" i="837"/>
  <c r="G48" i="837" s="1"/>
  <c r="L77" i="837"/>
  <c r="G77" i="837" s="1"/>
  <c r="L73" i="837"/>
  <c r="G73" i="837" s="1"/>
  <c r="L56" i="837"/>
  <c r="G56" i="837" s="1"/>
  <c r="L47" i="837"/>
  <c r="G47" i="837" s="1"/>
  <c r="L75" i="837"/>
  <c r="G75" i="837" s="1"/>
  <c r="L29" i="837"/>
  <c r="G29" i="837" s="1"/>
  <c r="L71" i="837"/>
  <c r="G71" i="837" s="1"/>
  <c r="L46" i="837"/>
  <c r="G46" i="837" s="1"/>
  <c r="F25" i="836"/>
  <c r="F7" i="836" s="1"/>
  <c r="L20" i="836"/>
  <c r="L45" i="836" s="1"/>
  <c r="G45" i="836" s="1"/>
  <c r="F64" i="836"/>
  <c r="F8" i="836" s="1"/>
  <c r="F71" i="836"/>
  <c r="F9" i="836" s="1"/>
  <c r="H83" i="835"/>
  <c r="H7" i="835"/>
  <c r="H11" i="835" s="1"/>
  <c r="K83" i="835" s="1"/>
  <c r="F72" i="835"/>
  <c r="F60" i="835"/>
  <c r="F56" i="835"/>
  <c r="F46" i="835"/>
  <c r="F76" i="835"/>
  <c r="F75" i="835"/>
  <c r="F67" i="835"/>
  <c r="F66" i="835"/>
  <c r="F61" i="835"/>
  <c r="F45" i="835"/>
  <c r="F74" i="835"/>
  <c r="F49" i="835"/>
  <c r="F47" i="835"/>
  <c r="F70" i="835"/>
  <c r="F50" i="835"/>
  <c r="F48" i="835"/>
  <c r="F40" i="835"/>
  <c r="F39" i="835"/>
  <c r="F38" i="835"/>
  <c r="F73" i="835"/>
  <c r="F69" i="835"/>
  <c r="F55" i="835"/>
  <c r="F37" i="835"/>
  <c r="F54" i="835"/>
  <c r="F44" i="835"/>
  <c r="F36" i="835"/>
  <c r="F30" i="835"/>
  <c r="F27" i="835"/>
  <c r="F29" i="835"/>
  <c r="H92" i="834"/>
  <c r="H17" i="834" s="1"/>
  <c r="J90" i="834"/>
  <c r="I90" i="834"/>
  <c r="G90" i="834"/>
  <c r="G85" i="834" s="1"/>
  <c r="J89" i="834"/>
  <c r="I89" i="834"/>
  <c r="J88" i="834"/>
  <c r="I88" i="834"/>
  <c r="B87" i="834"/>
  <c r="B88" i="834" s="1"/>
  <c r="B89" i="834" s="1"/>
  <c r="B90" i="834" s="1"/>
  <c r="J86" i="834"/>
  <c r="H85" i="834"/>
  <c r="H14" i="834" s="1"/>
  <c r="F85" i="834"/>
  <c r="E85" i="834"/>
  <c r="E14" i="834" s="1"/>
  <c r="M83" i="834"/>
  <c r="E83" i="834"/>
  <c r="I81" i="834"/>
  <c r="G79" i="834"/>
  <c r="B79" i="834"/>
  <c r="B80" i="834" s="1"/>
  <c r="B81" i="834" s="1"/>
  <c r="B82" i="834" s="1"/>
  <c r="H77" i="834"/>
  <c r="H10" i="834" s="1"/>
  <c r="E77" i="834"/>
  <c r="C73" i="834"/>
  <c r="C74" i="834" s="1"/>
  <c r="C75" i="834" s="1"/>
  <c r="B73" i="834"/>
  <c r="B74" i="834" s="1"/>
  <c r="B75" i="834" s="1"/>
  <c r="B76" i="834" s="1"/>
  <c r="H71" i="834"/>
  <c r="E71" i="834"/>
  <c r="E9" i="834" s="1"/>
  <c r="G68" i="834"/>
  <c r="C66" i="834"/>
  <c r="B66" i="834"/>
  <c r="B67" i="834" s="1"/>
  <c r="B68" i="834" s="1"/>
  <c r="B69" i="834" s="1"/>
  <c r="B70" i="834" s="1"/>
  <c r="G65" i="834"/>
  <c r="H64" i="834"/>
  <c r="H8" i="834" s="1"/>
  <c r="E64" i="834"/>
  <c r="E8" i="834" s="1"/>
  <c r="H62" i="834"/>
  <c r="H58" i="834"/>
  <c r="C45" i="834"/>
  <c r="C46" i="834" s="1"/>
  <c r="C47" i="834" s="1"/>
  <c r="C48" i="834" s="1"/>
  <c r="C49" i="834" s="1"/>
  <c r="C50" i="834" s="1"/>
  <c r="B45" i="834"/>
  <c r="B46" i="834" s="1"/>
  <c r="B47" i="834" s="1"/>
  <c r="B48" i="834" s="1"/>
  <c r="B49" i="834" s="1"/>
  <c r="B50" i="834" s="1"/>
  <c r="H42" i="834"/>
  <c r="C37" i="834"/>
  <c r="C38" i="834" s="1"/>
  <c r="C39" i="834" s="1"/>
  <c r="C40" i="834" s="1"/>
  <c r="B37" i="834"/>
  <c r="B38" i="834" s="1"/>
  <c r="B39" i="834" s="1"/>
  <c r="B40" i="834" s="1"/>
  <c r="H33" i="834"/>
  <c r="C30" i="834"/>
  <c r="C31" i="834" s="1"/>
  <c r="C27" i="834"/>
  <c r="B27" i="834"/>
  <c r="B28" i="834" s="1"/>
  <c r="B29" i="834" s="1"/>
  <c r="B30" i="834" s="1"/>
  <c r="B31" i="834" s="1"/>
  <c r="H25" i="834"/>
  <c r="E25" i="834"/>
  <c r="E7" i="834" s="1"/>
  <c r="M20" i="834"/>
  <c r="K14" i="834"/>
  <c r="G14" i="834"/>
  <c r="F14" i="834"/>
  <c r="K10" i="834"/>
  <c r="G10" i="834"/>
  <c r="G11" i="834" s="1"/>
  <c r="E2" i="834" s="1"/>
  <c r="F10" i="834"/>
  <c r="F11" i="834" s="1"/>
  <c r="E10" i="834"/>
  <c r="K9" i="834"/>
  <c r="H9" i="834"/>
  <c r="K8" i="834"/>
  <c r="K7" i="834"/>
  <c r="F31" i="834" l="1"/>
  <c r="L44" i="836"/>
  <c r="G44" i="836" s="1"/>
  <c r="L66" i="836"/>
  <c r="G66" i="836" s="1"/>
  <c r="F27" i="834"/>
  <c r="G25" i="838"/>
  <c r="L67" i="836"/>
  <c r="G67" i="836" s="1"/>
  <c r="L72" i="836"/>
  <c r="G72" i="836" s="1"/>
  <c r="L29" i="836"/>
  <c r="G29" i="836" s="1"/>
  <c r="E11" i="834"/>
  <c r="E94" i="834"/>
  <c r="L47" i="836"/>
  <c r="G47" i="836" s="1"/>
  <c r="G7" i="839"/>
  <c r="G84" i="838"/>
  <c r="G7" i="838"/>
  <c r="G33" i="837"/>
  <c r="G63" i="837"/>
  <c r="G72" i="837"/>
  <c r="G9" i="837" s="1"/>
  <c r="G43" i="837"/>
  <c r="L82" i="837"/>
  <c r="G82" i="837" s="1"/>
  <c r="F84" i="837"/>
  <c r="G95" i="837" s="1"/>
  <c r="G59" i="837"/>
  <c r="G65" i="837"/>
  <c r="G8" i="837" s="1"/>
  <c r="G52" i="837"/>
  <c r="L40" i="836"/>
  <c r="G40" i="836" s="1"/>
  <c r="L75" i="836"/>
  <c r="G75" i="836" s="1"/>
  <c r="L37" i="836"/>
  <c r="G37" i="836" s="1"/>
  <c r="L76" i="836"/>
  <c r="G76" i="836" s="1"/>
  <c r="L50" i="836"/>
  <c r="G50" i="836" s="1"/>
  <c r="L55" i="836"/>
  <c r="G55" i="836" s="1"/>
  <c r="L60" i="836"/>
  <c r="G60" i="836" s="1"/>
  <c r="L38" i="836"/>
  <c r="G38" i="836" s="1"/>
  <c r="L61" i="836"/>
  <c r="G61" i="836" s="1"/>
  <c r="L54" i="836"/>
  <c r="G54" i="836" s="1"/>
  <c r="L69" i="836"/>
  <c r="G69" i="836" s="1"/>
  <c r="L31" i="836"/>
  <c r="G31" i="836" s="1"/>
  <c r="L74" i="836"/>
  <c r="G74" i="836" s="1"/>
  <c r="L30" i="836"/>
  <c r="G30" i="836" s="1"/>
  <c r="L73" i="836"/>
  <c r="G73" i="836" s="1"/>
  <c r="L36" i="836"/>
  <c r="G36" i="836" s="1"/>
  <c r="L48" i="836"/>
  <c r="G48" i="836" s="1"/>
  <c r="L59" i="836"/>
  <c r="L57" i="836"/>
  <c r="L58" i="836"/>
  <c r="F82" i="836"/>
  <c r="L82" i="836" s="1"/>
  <c r="G82" i="836" s="1"/>
  <c r="F81" i="836"/>
  <c r="L56" i="836"/>
  <c r="G56" i="836" s="1"/>
  <c r="L70" i="836"/>
  <c r="G70" i="836" s="1"/>
  <c r="L26" i="836"/>
  <c r="G26" i="836" s="1"/>
  <c r="L49" i="836"/>
  <c r="G49" i="836" s="1"/>
  <c r="L39" i="836"/>
  <c r="G39" i="836" s="1"/>
  <c r="L27" i="836"/>
  <c r="G27" i="836" s="1"/>
  <c r="L46" i="836"/>
  <c r="G46" i="836" s="1"/>
  <c r="F64" i="835"/>
  <c r="F8" i="835" s="1"/>
  <c r="L20" i="835"/>
  <c r="L30" i="835" s="1"/>
  <c r="G30" i="835" s="1"/>
  <c r="F71" i="835"/>
  <c r="F9" i="835" s="1"/>
  <c r="F25" i="835"/>
  <c r="F7" i="835" s="1"/>
  <c r="H83" i="834"/>
  <c r="H7" i="834"/>
  <c r="H11" i="834" s="1"/>
  <c r="K83" i="834" s="1"/>
  <c r="F72" i="834"/>
  <c r="F60" i="834"/>
  <c r="F56" i="834"/>
  <c r="F46" i="834"/>
  <c r="F39" i="834"/>
  <c r="F76" i="834"/>
  <c r="F75" i="834"/>
  <c r="F67" i="834"/>
  <c r="F66" i="834"/>
  <c r="F61" i="834"/>
  <c r="F45" i="834"/>
  <c r="F73" i="834"/>
  <c r="F70" i="834"/>
  <c r="F69" i="834"/>
  <c r="F55" i="834"/>
  <c r="F49" i="834"/>
  <c r="F47" i="834"/>
  <c r="F74" i="834"/>
  <c r="F54" i="834"/>
  <c r="F40" i="834"/>
  <c r="F36" i="834"/>
  <c r="F30" i="834"/>
  <c r="F50" i="834"/>
  <c r="F44" i="834"/>
  <c r="F38" i="834"/>
  <c r="F48" i="834"/>
  <c r="F26" i="834"/>
  <c r="F29" i="834"/>
  <c r="F37" i="834"/>
  <c r="H92" i="833"/>
  <c r="H17" i="833" s="1"/>
  <c r="J90" i="833"/>
  <c r="I90" i="833"/>
  <c r="G90" i="833"/>
  <c r="G85" i="833" s="1"/>
  <c r="J89" i="833"/>
  <c r="I89" i="833"/>
  <c r="J88" i="833"/>
  <c r="I88" i="833"/>
  <c r="B87" i="833"/>
  <c r="B88" i="833" s="1"/>
  <c r="B89" i="833" s="1"/>
  <c r="B90" i="833" s="1"/>
  <c r="J86" i="833"/>
  <c r="H85" i="833"/>
  <c r="H14" i="833" s="1"/>
  <c r="F85" i="833"/>
  <c r="E85" i="833"/>
  <c r="E14" i="833" s="1"/>
  <c r="M83" i="833"/>
  <c r="E83" i="833"/>
  <c r="I81" i="833"/>
  <c r="G79" i="833"/>
  <c r="B79" i="833"/>
  <c r="B80" i="833" s="1"/>
  <c r="B81" i="833" s="1"/>
  <c r="B82" i="833" s="1"/>
  <c r="H77" i="833"/>
  <c r="H10" i="833" s="1"/>
  <c r="E77" i="833"/>
  <c r="E10" i="833" s="1"/>
  <c r="C73" i="833"/>
  <c r="C74" i="833" s="1"/>
  <c r="C75" i="833" s="1"/>
  <c r="B73" i="833"/>
  <c r="B74" i="833" s="1"/>
  <c r="B75" i="833" s="1"/>
  <c r="B76" i="833" s="1"/>
  <c r="H71" i="833"/>
  <c r="H9" i="833" s="1"/>
  <c r="E71" i="833"/>
  <c r="E9" i="833" s="1"/>
  <c r="G68" i="833"/>
  <c r="C66" i="833"/>
  <c r="B66" i="833"/>
  <c r="B67" i="833" s="1"/>
  <c r="B68" i="833" s="1"/>
  <c r="B69" i="833" s="1"/>
  <c r="B70" i="833" s="1"/>
  <c r="G65" i="833"/>
  <c r="H64" i="833"/>
  <c r="H8" i="833" s="1"/>
  <c r="E64" i="833"/>
  <c r="E8" i="833" s="1"/>
  <c r="H62" i="833"/>
  <c r="H58" i="833"/>
  <c r="C45" i="833"/>
  <c r="C46" i="833" s="1"/>
  <c r="C47" i="833" s="1"/>
  <c r="C48" i="833" s="1"/>
  <c r="C49" i="833" s="1"/>
  <c r="C50" i="833" s="1"/>
  <c r="B45" i="833"/>
  <c r="B46" i="833" s="1"/>
  <c r="B47" i="833" s="1"/>
  <c r="B48" i="833" s="1"/>
  <c r="B49" i="833" s="1"/>
  <c r="B50" i="833" s="1"/>
  <c r="H42" i="833"/>
  <c r="C37" i="833"/>
  <c r="C38" i="833" s="1"/>
  <c r="C39" i="833" s="1"/>
  <c r="C40" i="833" s="1"/>
  <c r="B37" i="833"/>
  <c r="B38" i="833" s="1"/>
  <c r="B39" i="833" s="1"/>
  <c r="B40" i="833" s="1"/>
  <c r="H33" i="833"/>
  <c r="C30" i="833"/>
  <c r="C31" i="833" s="1"/>
  <c r="C27" i="833"/>
  <c r="B27" i="833"/>
  <c r="B28" i="833" s="1"/>
  <c r="B29" i="833" s="1"/>
  <c r="B30" i="833" s="1"/>
  <c r="B31" i="833" s="1"/>
  <c r="H25" i="833"/>
  <c r="H7" i="833" s="1"/>
  <c r="E25" i="833"/>
  <c r="M20" i="833"/>
  <c r="K14" i="833"/>
  <c r="G14" i="833"/>
  <c r="F14" i="833"/>
  <c r="K10" i="833"/>
  <c r="G10" i="833"/>
  <c r="G11" i="833" s="1"/>
  <c r="E2" i="833" s="1"/>
  <c r="F10" i="833"/>
  <c r="F11" i="833" s="1"/>
  <c r="K9" i="833"/>
  <c r="K8" i="833"/>
  <c r="K7" i="833"/>
  <c r="E7" i="833"/>
  <c r="L74" i="835" l="1"/>
  <c r="G74" i="835" s="1"/>
  <c r="L27" i="835"/>
  <c r="G27" i="835" s="1"/>
  <c r="L47" i="835"/>
  <c r="G47" i="835" s="1"/>
  <c r="L50" i="835"/>
  <c r="G50" i="835" s="1"/>
  <c r="L75" i="835"/>
  <c r="G75" i="835" s="1"/>
  <c r="G62" i="836"/>
  <c r="L39" i="835"/>
  <c r="G39" i="835" s="1"/>
  <c r="E11" i="833"/>
  <c r="L61" i="835"/>
  <c r="G61" i="835" s="1"/>
  <c r="G58" i="836"/>
  <c r="G25" i="837"/>
  <c r="G84" i="837" s="1"/>
  <c r="G51" i="836"/>
  <c r="G64" i="836"/>
  <c r="G8" i="836" s="1"/>
  <c r="G71" i="836"/>
  <c r="G9" i="836" s="1"/>
  <c r="L81" i="836"/>
  <c r="G81" i="836" s="1"/>
  <c r="F83" i="836"/>
  <c r="G94" i="836" s="1"/>
  <c r="G42" i="836"/>
  <c r="G33" i="836"/>
  <c r="L67" i="835"/>
  <c r="G67" i="835" s="1"/>
  <c r="L56" i="835"/>
  <c r="G56" i="835" s="1"/>
  <c r="L72" i="835"/>
  <c r="G72" i="835" s="1"/>
  <c r="L48" i="835"/>
  <c r="G48" i="835" s="1"/>
  <c r="L73" i="835"/>
  <c r="G73" i="835" s="1"/>
  <c r="L54" i="835"/>
  <c r="G54" i="835" s="1"/>
  <c r="L37" i="835"/>
  <c r="G37" i="835" s="1"/>
  <c r="L29" i="835"/>
  <c r="G29" i="835" s="1"/>
  <c r="L40" i="835"/>
  <c r="G40" i="835" s="1"/>
  <c r="L36" i="835"/>
  <c r="G36" i="835" s="1"/>
  <c r="L46" i="835"/>
  <c r="G46" i="835" s="1"/>
  <c r="L66" i="835"/>
  <c r="G66" i="835" s="1"/>
  <c r="L49" i="835"/>
  <c r="G49" i="835" s="1"/>
  <c r="L70" i="835"/>
  <c r="G70" i="835" s="1"/>
  <c r="L60" i="835"/>
  <c r="G60" i="835" s="1"/>
  <c r="L45" i="835"/>
  <c r="G45" i="835" s="1"/>
  <c r="L55" i="835"/>
  <c r="G55" i="835" s="1"/>
  <c r="L44" i="835"/>
  <c r="G44" i="835" s="1"/>
  <c r="F81" i="835"/>
  <c r="L59" i="835"/>
  <c r="L57" i="835"/>
  <c r="L58" i="835"/>
  <c r="F82" i="835"/>
  <c r="L82" i="835" s="1"/>
  <c r="G82" i="835" s="1"/>
  <c r="L31" i="835"/>
  <c r="G31" i="835" s="1"/>
  <c r="L26" i="835"/>
  <c r="G26" i="835" s="1"/>
  <c r="L69" i="835"/>
  <c r="G69" i="835" s="1"/>
  <c r="L76" i="835"/>
  <c r="G76" i="835" s="1"/>
  <c r="L38" i="835"/>
  <c r="G38" i="835" s="1"/>
  <c r="F71" i="834"/>
  <c r="F9" i="834" s="1"/>
  <c r="F25" i="834"/>
  <c r="F7" i="834" s="1"/>
  <c r="L20" i="834"/>
  <c r="L56" i="834" s="1"/>
  <c r="G56" i="834" s="1"/>
  <c r="F64" i="834"/>
  <c r="F8" i="834" s="1"/>
  <c r="H11" i="833"/>
  <c r="K83" i="833" s="1"/>
  <c r="H83" i="833"/>
  <c r="F74" i="833"/>
  <c r="F54" i="833"/>
  <c r="F50" i="833"/>
  <c r="F48" i="833"/>
  <c r="F44" i="833"/>
  <c r="F73" i="833"/>
  <c r="F70" i="833"/>
  <c r="F69" i="833"/>
  <c r="F55" i="833"/>
  <c r="F49" i="833"/>
  <c r="F47" i="833"/>
  <c r="F40" i="833"/>
  <c r="F45" i="833"/>
  <c r="F39" i="833"/>
  <c r="F37" i="833"/>
  <c r="F72" i="833"/>
  <c r="F66" i="833"/>
  <c r="F61" i="833"/>
  <c r="F46" i="833"/>
  <c r="F36" i="833"/>
  <c r="F75" i="833"/>
  <c r="F67" i="833"/>
  <c r="F60" i="833"/>
  <c r="F30" i="833"/>
  <c r="F56" i="833"/>
  <c r="F26" i="833"/>
  <c r="F31" i="833"/>
  <c r="F38" i="833"/>
  <c r="F27" i="833"/>
  <c r="F29" i="833"/>
  <c r="F76" i="833"/>
  <c r="E94" i="833"/>
  <c r="G7" i="837" l="1"/>
  <c r="G25" i="836"/>
  <c r="G62" i="835"/>
  <c r="L37" i="834"/>
  <c r="G37" i="834" s="1"/>
  <c r="G58" i="835"/>
  <c r="G83" i="836"/>
  <c r="G7" i="836"/>
  <c r="G71" i="835"/>
  <c r="G9" i="835" s="1"/>
  <c r="G42" i="835"/>
  <c r="G64" i="835"/>
  <c r="G8" i="835" s="1"/>
  <c r="G33" i="835"/>
  <c r="L81" i="835"/>
  <c r="G81" i="835" s="1"/>
  <c r="F83" i="835"/>
  <c r="G94" i="835" s="1"/>
  <c r="G51" i="835"/>
  <c r="L45" i="834"/>
  <c r="G45" i="834" s="1"/>
  <c r="L50" i="834"/>
  <c r="G50" i="834" s="1"/>
  <c r="L29" i="834"/>
  <c r="G29" i="834" s="1"/>
  <c r="L61" i="834"/>
  <c r="G61" i="834" s="1"/>
  <c r="L47" i="834"/>
  <c r="G47" i="834" s="1"/>
  <c r="L74" i="834"/>
  <c r="G74" i="834" s="1"/>
  <c r="L70" i="834"/>
  <c r="G70" i="834" s="1"/>
  <c r="L60" i="834"/>
  <c r="G60" i="834" s="1"/>
  <c r="G62" i="834" s="1"/>
  <c r="L38" i="834"/>
  <c r="G38" i="834" s="1"/>
  <c r="L49" i="834"/>
  <c r="G49" i="834" s="1"/>
  <c r="L39" i="834"/>
  <c r="G39" i="834" s="1"/>
  <c r="L76" i="834"/>
  <c r="G76" i="834" s="1"/>
  <c r="L48" i="834"/>
  <c r="G48" i="834" s="1"/>
  <c r="L55" i="834"/>
  <c r="G55" i="834" s="1"/>
  <c r="L26" i="834"/>
  <c r="G26" i="834" s="1"/>
  <c r="L30" i="834"/>
  <c r="G30" i="834" s="1"/>
  <c r="L66" i="834"/>
  <c r="G66" i="834" s="1"/>
  <c r="L69" i="834"/>
  <c r="G69" i="834" s="1"/>
  <c r="L36" i="834"/>
  <c r="G36" i="834" s="1"/>
  <c r="L67" i="834"/>
  <c r="G67" i="834" s="1"/>
  <c r="L44" i="834"/>
  <c r="G44" i="834" s="1"/>
  <c r="L72" i="834"/>
  <c r="G72" i="834" s="1"/>
  <c r="L54" i="834"/>
  <c r="G54" i="834" s="1"/>
  <c r="F81" i="834"/>
  <c r="L59" i="834"/>
  <c r="L57" i="834"/>
  <c r="F82" i="834"/>
  <c r="L82" i="834" s="1"/>
  <c r="G82" i="834" s="1"/>
  <c r="L58" i="834"/>
  <c r="L31" i="834"/>
  <c r="G31" i="834" s="1"/>
  <c r="L27" i="834"/>
  <c r="G27" i="834" s="1"/>
  <c r="L75" i="834"/>
  <c r="G75" i="834" s="1"/>
  <c r="L73" i="834"/>
  <c r="G73" i="834" s="1"/>
  <c r="L46" i="834"/>
  <c r="G46" i="834" s="1"/>
  <c r="L40" i="834"/>
  <c r="G40" i="834" s="1"/>
  <c r="F25" i="833"/>
  <c r="F7" i="833" s="1"/>
  <c r="F64" i="833"/>
  <c r="F8" i="833" s="1"/>
  <c r="F71" i="833"/>
  <c r="F9" i="833" s="1"/>
  <c r="L20" i="833"/>
  <c r="L26" i="833" s="1"/>
  <c r="G26" i="833" s="1"/>
  <c r="L37" i="833"/>
  <c r="G37" i="833" s="1"/>
  <c r="L38" i="833"/>
  <c r="G38" i="833" s="1"/>
  <c r="L39" i="833"/>
  <c r="G39" i="833" s="1"/>
  <c r="L47" i="833"/>
  <c r="G47" i="833" s="1"/>
  <c r="L44" i="833" l="1"/>
  <c r="G44" i="833" s="1"/>
  <c r="G25" i="835"/>
  <c r="L31" i="833"/>
  <c r="G31" i="833" s="1"/>
  <c r="L54" i="833"/>
  <c r="G54" i="833" s="1"/>
  <c r="G83" i="835"/>
  <c r="G7" i="835"/>
  <c r="G58" i="834"/>
  <c r="G33" i="834"/>
  <c r="G71" i="834"/>
  <c r="G9" i="834" s="1"/>
  <c r="G42" i="834"/>
  <c r="L81" i="834"/>
  <c r="G81" i="834" s="1"/>
  <c r="F83" i="834"/>
  <c r="G94" i="834" s="1"/>
  <c r="G51" i="834"/>
  <c r="G64" i="834"/>
  <c r="G8" i="834" s="1"/>
  <c r="L46" i="833"/>
  <c r="G46" i="833" s="1"/>
  <c r="L36" i="833"/>
  <c r="G36" i="833" s="1"/>
  <c r="L48" i="833"/>
  <c r="G48" i="833" s="1"/>
  <c r="L29" i="833"/>
  <c r="G29" i="833" s="1"/>
  <c r="L75" i="833"/>
  <c r="G75" i="833" s="1"/>
  <c r="L40" i="833"/>
  <c r="G40" i="833" s="1"/>
  <c r="L49" i="833"/>
  <c r="G49" i="833" s="1"/>
  <c r="L27" i="833"/>
  <c r="G27" i="833" s="1"/>
  <c r="L50" i="833"/>
  <c r="G50" i="833" s="1"/>
  <c r="L69" i="833"/>
  <c r="G69" i="833" s="1"/>
  <c r="L45" i="833"/>
  <c r="G45" i="833" s="1"/>
  <c r="L61" i="833"/>
  <c r="G61" i="833" s="1"/>
  <c r="L67" i="833"/>
  <c r="G67" i="833" s="1"/>
  <c r="L55" i="833"/>
  <c r="G55" i="833" s="1"/>
  <c r="L60" i="833"/>
  <c r="G60" i="833" s="1"/>
  <c r="L76" i="833"/>
  <c r="G76" i="833" s="1"/>
  <c r="L72" i="833"/>
  <c r="G72" i="833" s="1"/>
  <c r="L58" i="833"/>
  <c r="F82" i="833"/>
  <c r="L82" i="833" s="1"/>
  <c r="G82" i="833" s="1"/>
  <c r="F81" i="833"/>
  <c r="L57" i="833"/>
  <c r="L59" i="833"/>
  <c r="L56" i="833"/>
  <c r="G56" i="833" s="1"/>
  <c r="L70" i="833"/>
  <c r="G70" i="833" s="1"/>
  <c r="L30" i="833"/>
  <c r="G30" i="833" s="1"/>
  <c r="L74" i="833"/>
  <c r="G74" i="833" s="1"/>
  <c r="L73" i="833"/>
  <c r="G73" i="833" s="1"/>
  <c r="L66" i="833"/>
  <c r="G66" i="833" s="1"/>
  <c r="G25" i="834" l="1"/>
  <c r="G7" i="834" s="1"/>
  <c r="G62" i="833"/>
  <c r="G51" i="833"/>
  <c r="G64" i="833"/>
  <c r="G8" i="833" s="1"/>
  <c r="G58" i="833"/>
  <c r="G42" i="833"/>
  <c r="G33" i="833"/>
  <c r="G71" i="833"/>
  <c r="G9" i="833" s="1"/>
  <c r="L81" i="833"/>
  <c r="G81" i="833" s="1"/>
  <c r="F83" i="833"/>
  <c r="G94" i="833" s="1"/>
  <c r="G83" i="834" l="1"/>
  <c r="G25" i="833"/>
  <c r="G83" i="833" s="1"/>
  <c r="G7" i="833" l="1"/>
</calcChain>
</file>

<file path=xl/sharedStrings.xml><?xml version="1.0" encoding="utf-8"?>
<sst xmlns="http://schemas.openxmlformats.org/spreadsheetml/2006/main" count="1741" uniqueCount="127">
  <si>
    <t>NGML TOTAL ALLOCATION</t>
  </si>
  <si>
    <t>DATE:</t>
  </si>
  <si>
    <t>NNPC GAS MARKETING LIMITED</t>
  </si>
  <si>
    <t xml:space="preserve">Daily Gas Situation Report </t>
  </si>
  <si>
    <t>S/N</t>
  </si>
  <si>
    <t>OFFTAKERS NAME</t>
  </si>
  <si>
    <t>DESIGN CAPACITY
(MMscfd)</t>
  </si>
  <si>
    <t>NOMINATIONS
(MMscfd)</t>
  </si>
  <si>
    <t>ALLOCATION
(MMscfd)
Weekdays</t>
  </si>
  <si>
    <t xml:space="preserve"> OFFTAKE
(MMscfd)</t>
  </si>
  <si>
    <t xml:space="preserve">PRESSURE (BAR) </t>
  </si>
  <si>
    <t>REMARKS</t>
  </si>
  <si>
    <t>OUTLET</t>
  </si>
  <si>
    <t>REGIONAL GAS DISTRIBUTION LAGOS</t>
  </si>
  <si>
    <t>REGIONAL GAS DISTRIBUTION NORTH</t>
  </si>
  <si>
    <t>REGIONAL GAS DISTRIBUTION DELTA</t>
  </si>
  <si>
    <t>REGIONAL GAS DISTRIBUTION EAST</t>
  </si>
  <si>
    <t>SUB -TOTAL 1</t>
  </si>
  <si>
    <t>SECONDARY TARIFF CUSTOMERS</t>
  </si>
  <si>
    <t>Total Supply to AGOT GDZ</t>
  </si>
  <si>
    <t xml:space="preserve">ALLOCATION FROM NGIC </t>
  </si>
  <si>
    <t>NGML NOMINATION</t>
  </si>
  <si>
    <t>INLET</t>
  </si>
  <si>
    <t>GASLINK</t>
  </si>
  <si>
    <t>FALCON</t>
  </si>
  <si>
    <t>SNG</t>
  </si>
  <si>
    <t>WAPCO SHAG</t>
  </si>
  <si>
    <t>On Standby (customer on mtce shutdown)</t>
  </si>
  <si>
    <t>WAPCO EWEK</t>
  </si>
  <si>
    <t>IBESHE CEMENT</t>
  </si>
  <si>
    <t>NGML-NIPCO UJV</t>
  </si>
  <si>
    <t>LPL G/PWR (RCCG)</t>
  </si>
  <si>
    <t>OLAM</t>
  </si>
  <si>
    <t>BREEZE IND LTD</t>
  </si>
  <si>
    <t>NESTLE</t>
  </si>
  <si>
    <t>AIML</t>
  </si>
  <si>
    <t>TRANSIT GAS FRANCHISE</t>
  </si>
  <si>
    <t>APPLE&amp;PEARS</t>
  </si>
  <si>
    <t>WASIL</t>
  </si>
  <si>
    <t>URAGA POWER</t>
  </si>
  <si>
    <t>EMZOR</t>
  </si>
  <si>
    <t>RITE FOODS</t>
  </si>
  <si>
    <t>GOLDCOIN</t>
  </si>
  <si>
    <t>LAD GROUP</t>
  </si>
  <si>
    <t>Newly commissioned customer yet to commence gas offtake</t>
  </si>
  <si>
    <t>ENTEC GAS FRANCHISE</t>
  </si>
  <si>
    <t>NIXIN PAPER MILLS</t>
  </si>
  <si>
    <t>FLEX FILMS</t>
  </si>
  <si>
    <t>FAN RENEWABLE</t>
  </si>
  <si>
    <t>GREEN FUELS UJV</t>
  </si>
  <si>
    <t>SIGMA IND. PARK</t>
  </si>
  <si>
    <t>DAHUA PAPER CO. LTD</t>
  </si>
  <si>
    <t>6 Nos stations on-stream</t>
  </si>
  <si>
    <t>OBAJANA CEMENT</t>
  </si>
  <si>
    <t>BOKIR (CNG)</t>
  </si>
  <si>
    <t>Station on stream</t>
  </si>
  <si>
    <t>NIPCO (CNG)</t>
  </si>
  <si>
    <t>BUA CEMENT</t>
  </si>
  <si>
    <t>WACL</t>
  </si>
  <si>
    <t>BN CERAMICS</t>
  </si>
  <si>
    <t>TIME CERAMICS</t>
  </si>
  <si>
    <t>RONGSHENG</t>
  </si>
  <si>
    <t>GUINNESS</t>
  </si>
  <si>
    <t>CROWN FLOUR MILL</t>
  </si>
  <si>
    <t>Station on standby</t>
  </si>
  <si>
    <t>PREMIUM STEEL</t>
  </si>
  <si>
    <t>Station on standby (customer's plant shutdown)</t>
  </si>
  <si>
    <t>WRPC</t>
  </si>
  <si>
    <t xml:space="preserve">Station on stream </t>
  </si>
  <si>
    <t>GEL on stream, FIPL &amp; Denna Rossi on standby, PHRC on shutdown for rehabilitation</t>
  </si>
  <si>
    <t>GENESIS ELECTRICITY LTD (GEL)</t>
  </si>
  <si>
    <t>FIPL</t>
  </si>
  <si>
    <t>PHRC</t>
  </si>
  <si>
    <t>Station on Mtce Shutdown (16-03-2019)</t>
  </si>
  <si>
    <t>DENNA ROSSI</t>
  </si>
  <si>
    <t>MAINLAND</t>
  </si>
  <si>
    <t>Customer yet to commence gas offtake</t>
  </si>
  <si>
    <t>5 Stations on stream</t>
  </si>
  <si>
    <t>YING ZHE ENERGY (ELPS TO YING ZHE ENERGY)</t>
  </si>
  <si>
    <t>SNG (ITOKI TO AGOT); SNG Vol.</t>
  </si>
  <si>
    <t>PARAS EMBEDDED (ELPS TO PARAS)</t>
  </si>
  <si>
    <t>BUA (Under Tolling Agreement)</t>
  </si>
  <si>
    <t>AXXELA Supply (Obajana Cement Gas tolling)</t>
  </si>
  <si>
    <t>Do Not Delete</t>
  </si>
  <si>
    <t>11 Stations on stream, Quadrant IPP2 &amp; Premium Steel on standby</t>
  </si>
  <si>
    <t>AGRICON</t>
  </si>
  <si>
    <t>Station on stream (3 Kilns &amp; 1 Turbine on mtce shutdown)</t>
  </si>
  <si>
    <t>On Standby (customer yet to commence gas offtake)</t>
  </si>
  <si>
    <t>17.4/12.5</t>
  </si>
  <si>
    <t>TIGET</t>
  </si>
  <si>
    <t>93 Stations on stream, 4 on shutdown, 7 on standby</t>
  </si>
  <si>
    <t>NGML Commercial volume offtake less than allocation by 20.16 MMscfd</t>
  </si>
  <si>
    <t>17.4/12.9</t>
  </si>
  <si>
    <t>10 Stations on stream, Yongxing Power, Quadrant IPP2 &amp; Premium Steel on standby</t>
  </si>
  <si>
    <t>NGML Commercial volume offtake less than allocation by 18.11 MMscfd</t>
  </si>
  <si>
    <t>17.4/12.8</t>
  </si>
  <si>
    <t>NGML Commercial volume offtake less than allocation by 9.76 MMscfd</t>
  </si>
  <si>
    <t>17.5/12.9</t>
  </si>
  <si>
    <t>Commissioned customer yet to commence gas offtake</t>
  </si>
  <si>
    <t>Station on stream (2 Kilns &amp; 1 Turbine on mtce shutdown)</t>
  </si>
  <si>
    <t>92 Stations on stream, 4 on shutdown, 8 on standby</t>
  </si>
  <si>
    <t>NGML Commercial volume offtake less than allocation by 0.58 MMscfd</t>
  </si>
  <si>
    <t>18.0/12.9</t>
  </si>
  <si>
    <t>CEDAR &amp; CRADLE</t>
  </si>
  <si>
    <t>88 Stations on stream, 4 on shutdown, 13 on standby</t>
  </si>
  <si>
    <t>NGML Commercial volume offtake less than allocation by 5.95 MMscfd</t>
  </si>
  <si>
    <t>17.0/12.5</t>
  </si>
  <si>
    <t>NGML Commercial volume offtake less than allocation by 18.76 MMscfd</t>
  </si>
  <si>
    <t>84 Stations on stream, 4 on shutdown, 17 on standby</t>
  </si>
  <si>
    <t>17.1/12.5</t>
  </si>
  <si>
    <t>NGML Commercial volume offtake less than allocation by 9.17 MMscfd</t>
  </si>
  <si>
    <t>91 Stations on stream, 4 on shutdown, 10 on standby</t>
  </si>
  <si>
    <t>19.0/12.5</t>
  </si>
  <si>
    <t>Station on stream (1 Kiln &amp; 1 Turbine on mtce shutdown)</t>
  </si>
  <si>
    <t>NGML Commercial volume offtake less than allocation by 13.68 MMscfd</t>
  </si>
  <si>
    <t>20.1/12.5</t>
  </si>
  <si>
    <t>NGML Commercial volume offtake less than allocation by 26.03 MMscfd</t>
  </si>
  <si>
    <t>92 Stations on stream, 4 on shutdown, 9 on standby</t>
  </si>
  <si>
    <t>20.0/12.5</t>
  </si>
  <si>
    <t>10 Stations on stream, Life Flour Mill, Quadrant IPP2 &amp; Premium Steel on standby</t>
  </si>
  <si>
    <t>NGML Commercial volume offtake less than allocation by 23.89 MMscfd</t>
  </si>
  <si>
    <t>20.8/12.5</t>
  </si>
  <si>
    <t>NGML Commercial volume offtake less than allocation by 31.59 MMscfd</t>
  </si>
  <si>
    <t>NGML Commercial volume offtake less than allocation by 26.98 MMscfd</t>
  </si>
  <si>
    <t>NGML Commercial volume offtake less than allocation by 31.90 MMscfd</t>
  </si>
  <si>
    <t>85 Stations on stream, 4 on shutdown, 16 on standby</t>
  </si>
  <si>
    <t>NGML Commercial volume offtake less than allocation by 9.78 MMscfd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</si>
</sst>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800]dddd\,\ mmmm\ dd\,\ yyyy"/>
    <numFmt numFmtId="166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name val="Calibri"/>
      <family val="2"/>
      <charset val="1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4"/>
      <color rgb="FFCCFF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Aharoni"/>
    </font>
    <font>
      <b/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Calibri"/>
      <family val="2"/>
      <charset val="1"/>
      <scheme val="minor"/>
    </font>
    <font>
      <sz val="10"/>
      <name val="Verdana"/>
      <family val="2"/>
    </font>
    <font>
      <b/>
      <sz val="9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theme="1"/>
      <name val="Maiandra GD"/>
      <family val="2"/>
    </font>
    <font>
      <b/>
      <sz val="24"/>
      <color theme="1"/>
      <name val="Calibri"/>
      <family val="2"/>
      <scheme val="minor"/>
    </font>
    <font>
      <b/>
      <sz val="20"/>
      <color theme="1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20">
    <xf numFmtId="0" fontId="0" fillId="0" borderId="0" xfId="0"/>
    <xf numFmtId="0" fontId="0" fillId="2" borderId="0" xfId="0" applyFill="1"/>
    <xf numFmtId="2" fontId="5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6" fontId="0" fillId="0" borderId="0" xfId="0" applyNumberFormat="1"/>
    <xf numFmtId="0" fontId="3" fillId="2" borderId="2" xfId="0" applyFont="1" applyFill="1" applyBorder="1" applyAlignment="1">
      <alignment horizontal="center" vertical="center" textRotation="90" wrapText="1"/>
    </xf>
    <xf numFmtId="0" fontId="0" fillId="2" borderId="3" xfId="0" applyFill="1" applyBorder="1"/>
    <xf numFmtId="0" fontId="3" fillId="2" borderId="5" xfId="0" applyFont="1" applyFill="1" applyBorder="1" applyAlignment="1">
      <alignment horizontal="center" vertical="center" textRotation="90" wrapText="1"/>
    </xf>
    <xf numFmtId="0" fontId="9" fillId="2" borderId="6" xfId="0" applyFont="1" applyFill="1" applyBorder="1"/>
    <xf numFmtId="0" fontId="3" fillId="2" borderId="12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vertical="center"/>
    </xf>
    <xf numFmtId="0" fontId="12" fillId="0" borderId="19" xfId="0" applyFont="1" applyBorder="1"/>
    <xf numFmtId="0" fontId="11" fillId="0" borderId="19" xfId="0" applyFont="1" applyBorder="1" applyAlignment="1">
      <alignment vertical="center"/>
    </xf>
    <xf numFmtId="164" fontId="13" fillId="4" borderId="20" xfId="0" applyNumberFormat="1" applyFont="1" applyFill="1" applyBorder="1" applyAlignment="1">
      <alignment horizontal="center" vertical="center"/>
    </xf>
    <xf numFmtId="164" fontId="13" fillId="4" borderId="21" xfId="0" applyNumberFormat="1" applyFont="1" applyFill="1" applyBorder="1" applyAlignment="1">
      <alignment horizontal="center" vertical="center"/>
    </xf>
    <xf numFmtId="164" fontId="14" fillId="4" borderId="21" xfId="0" applyNumberFormat="1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vertical="center"/>
    </xf>
    <xf numFmtId="0" fontId="15" fillId="2" borderId="23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vertical="center"/>
    </xf>
    <xf numFmtId="164" fontId="18" fillId="4" borderId="9" xfId="0" applyNumberFormat="1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16" fillId="2" borderId="24" xfId="0" applyFont="1" applyFill="1" applyBorder="1" applyAlignment="1">
      <alignment horizontal="center" vertical="center" wrapText="1"/>
    </xf>
    <xf numFmtId="0" fontId="17" fillId="0" borderId="19" xfId="0" applyFont="1" applyBorder="1"/>
    <xf numFmtId="0" fontId="17" fillId="0" borderId="19" xfId="0" applyFont="1" applyBorder="1" applyAlignment="1">
      <alignment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16" fillId="2" borderId="23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vertical="center"/>
    </xf>
    <xf numFmtId="164" fontId="14" fillId="4" borderId="26" xfId="0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164" fontId="19" fillId="2" borderId="17" xfId="0" applyNumberFormat="1" applyFont="1" applyFill="1" applyBorder="1" applyAlignment="1">
      <alignment horizontal="center" vertical="center"/>
    </xf>
    <xf numFmtId="164" fontId="19" fillId="2" borderId="21" xfId="0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20" fillId="2" borderId="0" xfId="0" applyNumberFormat="1" applyFont="1" applyFill="1"/>
    <xf numFmtId="0" fontId="0" fillId="2" borderId="0" xfId="0" applyFill="1" applyAlignment="1">
      <alignment vertical="center"/>
    </xf>
    <xf numFmtId="0" fontId="21" fillId="2" borderId="18" xfId="0" applyFont="1" applyFill="1" applyBorder="1" applyAlignment="1">
      <alignment vertical="center"/>
    </xf>
    <xf numFmtId="0" fontId="21" fillId="2" borderId="23" xfId="0" applyFont="1" applyFill="1" applyBorder="1" applyAlignment="1">
      <alignment vertical="center"/>
    </xf>
    <xf numFmtId="0" fontId="20" fillId="2" borderId="0" xfId="0" applyFont="1" applyFill="1"/>
    <xf numFmtId="164" fontId="0" fillId="2" borderId="0" xfId="0" applyNumberFormat="1" applyFill="1"/>
    <xf numFmtId="0" fontId="23" fillId="2" borderId="19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vertical="center"/>
    </xf>
    <xf numFmtId="164" fontId="25" fillId="2" borderId="1" xfId="0" applyNumberFormat="1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vertical="center" wrapText="1"/>
    </xf>
    <xf numFmtId="2" fontId="1" fillId="0" borderId="29" xfId="0" applyNumberFormat="1" applyFont="1" applyBorder="1" applyAlignment="1">
      <alignment horizontal="center" vertical="center"/>
    </xf>
    <xf numFmtId="2" fontId="27" fillId="0" borderId="33" xfId="0" applyNumberFormat="1" applyFont="1" applyBorder="1" applyAlignment="1">
      <alignment horizontal="center" vertical="center"/>
    </xf>
    <xf numFmtId="2" fontId="27" fillId="0" borderId="34" xfId="0" applyNumberFormat="1" applyFont="1" applyBorder="1" applyAlignment="1">
      <alignment horizontal="center" vertical="center"/>
    </xf>
    <xf numFmtId="166" fontId="28" fillId="2" borderId="29" xfId="0" applyNumberFormat="1" applyFont="1" applyFill="1" applyBorder="1" applyAlignment="1">
      <alignment horizontal="center" vertical="center"/>
    </xf>
    <xf numFmtId="166" fontId="28" fillId="2" borderId="30" xfId="0" applyNumberFormat="1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wrapText="1"/>
    </xf>
    <xf numFmtId="166" fontId="26" fillId="0" borderId="0" xfId="0" applyNumberFormat="1" applyFont="1"/>
    <xf numFmtId="166" fontId="30" fillId="2" borderId="0" xfId="0" applyNumberFormat="1" applyFont="1" applyFill="1"/>
    <xf numFmtId="0" fontId="26" fillId="2" borderId="3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vertical="center" wrapText="1"/>
    </xf>
    <xf numFmtId="2" fontId="1" fillId="0" borderId="28" xfId="0" applyNumberFormat="1" applyFont="1" applyBorder="1" applyAlignment="1">
      <alignment horizontal="center" vertical="center"/>
    </xf>
    <xf numFmtId="166" fontId="28" fillId="2" borderId="28" xfId="0" applyNumberFormat="1" applyFont="1" applyFill="1" applyBorder="1" applyAlignment="1">
      <alignment horizontal="center" vertical="center"/>
    </xf>
    <xf numFmtId="166" fontId="28" fillId="2" borderId="37" xfId="0" applyNumberFormat="1" applyFont="1" applyFill="1" applyBorder="1" applyAlignment="1">
      <alignment horizontal="center" vertical="center"/>
    </xf>
    <xf numFmtId="0" fontId="29" fillId="2" borderId="38" xfId="0" applyFont="1" applyFill="1" applyBorder="1"/>
    <xf numFmtId="0" fontId="31" fillId="2" borderId="36" xfId="0" applyFont="1" applyFill="1" applyBorder="1" applyAlignment="1">
      <alignment vertical="center" wrapText="1"/>
    </xf>
    <xf numFmtId="2" fontId="31" fillId="0" borderId="28" xfId="0" applyNumberFormat="1" applyFont="1" applyBorder="1" applyAlignment="1">
      <alignment horizontal="center" vertical="center"/>
    </xf>
    <xf numFmtId="164" fontId="28" fillId="2" borderId="28" xfId="0" applyNumberFormat="1" applyFont="1" applyFill="1" applyBorder="1" applyAlignment="1">
      <alignment horizontal="center" vertical="center"/>
    </xf>
    <xf numFmtId="166" fontId="32" fillId="2" borderId="28" xfId="0" applyNumberFormat="1" applyFont="1" applyFill="1" applyBorder="1" applyAlignment="1">
      <alignment horizontal="center" vertical="center"/>
    </xf>
    <xf numFmtId="166" fontId="32" fillId="2" borderId="37" xfId="0" applyNumberFormat="1" applyFont="1" applyFill="1" applyBorder="1" applyAlignment="1">
      <alignment horizontal="center" vertical="center"/>
    </xf>
    <xf numFmtId="0" fontId="33" fillId="2" borderId="39" xfId="0" applyFont="1" applyFill="1" applyBorder="1"/>
    <xf numFmtId="0" fontId="29" fillId="2" borderId="39" xfId="0" applyFont="1" applyFill="1" applyBorder="1"/>
    <xf numFmtId="0" fontId="9" fillId="2" borderId="33" xfId="0" applyFont="1" applyFill="1" applyBorder="1" applyAlignment="1">
      <alignment horizontal="center" vertical="center"/>
    </xf>
    <xf numFmtId="0" fontId="0" fillId="2" borderId="36" xfId="0" applyFill="1" applyBorder="1"/>
    <xf numFmtId="2" fontId="27" fillId="0" borderId="41" xfId="0" applyNumberFormat="1" applyFont="1" applyBorder="1" applyAlignment="1">
      <alignment horizontal="center" vertical="center"/>
    </xf>
    <xf numFmtId="2" fontId="32" fillId="0" borderId="34" xfId="0" applyNumberFormat="1" applyFont="1" applyBorder="1" applyAlignment="1">
      <alignment horizontal="center" vertical="center"/>
    </xf>
    <xf numFmtId="166" fontId="34" fillId="2" borderId="0" xfId="0" applyNumberFormat="1" applyFont="1" applyFill="1"/>
    <xf numFmtId="0" fontId="35" fillId="2" borderId="37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vertical="center" wrapText="1"/>
    </xf>
    <xf numFmtId="0" fontId="29" fillId="2" borderId="40" xfId="0" applyFont="1" applyFill="1" applyBorder="1" applyAlignment="1">
      <alignment horizontal="center"/>
    </xf>
    <xf numFmtId="0" fontId="26" fillId="2" borderId="42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vertical="center" wrapText="1"/>
    </xf>
    <xf numFmtId="166" fontId="28" fillId="2" borderId="12" xfId="0" applyNumberFormat="1" applyFont="1" applyFill="1" applyBorder="1" applyAlignment="1">
      <alignment horizontal="center" vertical="center"/>
    </xf>
    <xf numFmtId="166" fontId="28" fillId="2" borderId="31" xfId="0" applyNumberFormat="1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vertical="center" wrapText="1"/>
    </xf>
    <xf numFmtId="2" fontId="1" fillId="0" borderId="21" xfId="0" applyNumberFormat="1" applyFont="1" applyBorder="1" applyAlignment="1">
      <alignment horizontal="center" vertical="center"/>
    </xf>
    <xf numFmtId="2" fontId="27" fillId="0" borderId="26" xfId="0" applyNumberFormat="1" applyFont="1" applyBorder="1" applyAlignment="1">
      <alignment horizontal="center" vertical="center"/>
    </xf>
    <xf numFmtId="166" fontId="28" fillId="2" borderId="21" xfId="0" applyNumberFormat="1" applyFont="1" applyFill="1" applyBorder="1" applyAlignment="1">
      <alignment horizontal="center" vertical="center"/>
    </xf>
    <xf numFmtId="166" fontId="28" fillId="2" borderId="22" xfId="0" applyNumberFormat="1" applyFont="1" applyFill="1" applyBorder="1" applyAlignment="1">
      <alignment horizontal="center" vertical="center"/>
    </xf>
    <xf numFmtId="0" fontId="26" fillId="2" borderId="43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vertical="center" wrapText="1"/>
    </xf>
    <xf numFmtId="166" fontId="28" fillId="2" borderId="34" xfId="0" applyNumberFormat="1" applyFont="1" applyFill="1" applyBorder="1" applyAlignment="1">
      <alignment horizontal="center" vertical="center"/>
    </xf>
    <xf numFmtId="166" fontId="28" fillId="2" borderId="44" xfId="0" applyNumberFormat="1" applyFont="1" applyFill="1" applyBorder="1" applyAlignment="1">
      <alignment horizontal="center" vertical="center"/>
    </xf>
    <xf numFmtId="2" fontId="1" fillId="0" borderId="45" xfId="0" applyNumberFormat="1" applyFont="1" applyBorder="1" applyAlignment="1">
      <alignment horizontal="center" vertical="center"/>
    </xf>
    <xf numFmtId="166" fontId="28" fillId="2" borderId="40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vertical="center" wrapText="1"/>
    </xf>
    <xf numFmtId="0" fontId="31" fillId="2" borderId="42" xfId="0" applyFont="1" applyFill="1" applyBorder="1" applyAlignment="1">
      <alignment vertical="center" wrapText="1"/>
    </xf>
    <xf numFmtId="2" fontId="31" fillId="0" borderId="45" xfId="0" applyNumberFormat="1" applyFont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166" fontId="28" fillId="2" borderId="23" xfId="0" applyNumberFormat="1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vertical="center" wrapText="1"/>
    </xf>
    <xf numFmtId="0" fontId="9" fillId="2" borderId="38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vertical="center" wrapText="1"/>
    </xf>
    <xf numFmtId="0" fontId="0" fillId="2" borderId="45" xfId="0" applyFill="1" applyBorder="1" applyAlignment="1">
      <alignment vertical="center" wrapText="1"/>
    </xf>
    <xf numFmtId="0" fontId="0" fillId="2" borderId="47" xfId="0" applyFill="1" applyBorder="1" applyAlignment="1">
      <alignment vertical="center" wrapText="1"/>
    </xf>
    <xf numFmtId="0" fontId="9" fillId="2" borderId="48" xfId="0" applyFont="1" applyFill="1" applyBorder="1" applyAlignment="1">
      <alignment horizontal="center" vertical="center"/>
    </xf>
    <xf numFmtId="0" fontId="0" fillId="2" borderId="36" xfId="0" applyFill="1" applyBorder="1" applyAlignment="1">
      <alignment vertical="center" wrapText="1"/>
    </xf>
    <xf numFmtId="0" fontId="33" fillId="2" borderId="39" xfId="0" applyFont="1" applyFill="1" applyBorder="1" applyAlignment="1">
      <alignment horizontal="left" wrapText="1"/>
    </xf>
    <xf numFmtId="0" fontId="9" fillId="2" borderId="49" xfId="0" applyFont="1" applyFill="1" applyBorder="1" applyAlignment="1">
      <alignment horizontal="center" vertical="center"/>
    </xf>
    <xf numFmtId="0" fontId="0" fillId="2" borderId="50" xfId="0" applyFill="1" applyBorder="1" applyAlignment="1">
      <alignment vertical="center" wrapText="1"/>
    </xf>
    <xf numFmtId="2" fontId="1" fillId="0" borderId="51" xfId="0" applyNumberFormat="1" applyFont="1" applyBorder="1" applyAlignment="1">
      <alignment horizontal="center" vertical="center"/>
    </xf>
    <xf numFmtId="2" fontId="27" fillId="0" borderId="49" xfId="0" applyNumberFormat="1" applyFont="1" applyBorder="1" applyAlignment="1">
      <alignment horizontal="center" vertical="center"/>
    </xf>
    <xf numFmtId="166" fontId="28" fillId="2" borderId="52" xfId="0" applyNumberFormat="1" applyFont="1" applyFill="1" applyBorder="1" applyAlignment="1">
      <alignment horizontal="center" vertical="center"/>
    </xf>
    <xf numFmtId="166" fontId="28" fillId="2" borderId="8" xfId="0" applyNumberFormat="1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left" wrapText="1"/>
    </xf>
    <xf numFmtId="0" fontId="26" fillId="2" borderId="50" xfId="0" applyFont="1" applyFill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/>
    </xf>
    <xf numFmtId="166" fontId="28" fillId="0" borderId="33" xfId="0" applyNumberFormat="1" applyFont="1" applyBorder="1" applyAlignment="1">
      <alignment horizontal="center" vertical="center"/>
    </xf>
    <xf numFmtId="0" fontId="26" fillId="2" borderId="54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166" fontId="36" fillId="2" borderId="0" xfId="0" applyNumberFormat="1" applyFont="1" applyFill="1"/>
    <xf numFmtId="0" fontId="9" fillId="2" borderId="1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vertical="center"/>
    </xf>
    <xf numFmtId="4" fontId="1" fillId="0" borderId="29" xfId="0" applyNumberFormat="1" applyFont="1" applyBorder="1" applyAlignment="1">
      <alignment horizontal="center" vertical="center"/>
    </xf>
    <xf numFmtId="164" fontId="28" fillId="2" borderId="29" xfId="0" applyNumberFormat="1" applyFont="1" applyFill="1" applyBorder="1" applyAlignment="1">
      <alignment horizontal="center" vertical="center"/>
    </xf>
    <xf numFmtId="166" fontId="28" fillId="2" borderId="13" xfId="0" applyNumberFormat="1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vertical="center"/>
    </xf>
    <xf numFmtId="4" fontId="1" fillId="0" borderId="28" xfId="0" applyNumberFormat="1" applyFont="1" applyBorder="1" applyAlignment="1">
      <alignment horizontal="center" vertical="center"/>
    </xf>
    <xf numFmtId="166" fontId="28" fillId="2" borderId="33" xfId="0" applyNumberFormat="1" applyFont="1" applyFill="1" applyBorder="1" applyAlignment="1">
      <alignment horizontal="center" vertical="center"/>
    </xf>
    <xf numFmtId="0" fontId="29" fillId="0" borderId="39" xfId="0" applyFont="1" applyBorder="1"/>
    <xf numFmtId="0" fontId="1" fillId="0" borderId="36" xfId="0" applyFont="1" applyBorder="1" applyAlignment="1">
      <alignment vertical="center"/>
    </xf>
    <xf numFmtId="2" fontId="31" fillId="0" borderId="58" xfId="0" applyNumberFormat="1" applyFont="1" applyBorder="1" applyAlignment="1">
      <alignment horizontal="center" vertical="center"/>
    </xf>
    <xf numFmtId="166" fontId="28" fillId="2" borderId="58" xfId="0" applyNumberFormat="1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166" fontId="37" fillId="2" borderId="35" xfId="0" applyNumberFormat="1" applyFont="1" applyFill="1" applyBorder="1"/>
    <xf numFmtId="0" fontId="29" fillId="0" borderId="38" xfId="0" applyFont="1" applyBorder="1"/>
    <xf numFmtId="0" fontId="0" fillId="2" borderId="36" xfId="0" applyFill="1" applyBorder="1" applyAlignment="1">
      <alignment vertical="center"/>
    </xf>
    <xf numFmtId="0" fontId="1" fillId="0" borderId="54" xfId="0" applyFont="1" applyBorder="1" applyAlignment="1">
      <alignment vertical="center"/>
    </xf>
    <xf numFmtId="2" fontId="1" fillId="0" borderId="58" xfId="0" applyNumberFormat="1" applyFont="1" applyBorder="1" applyAlignment="1">
      <alignment horizontal="center" vertical="center"/>
    </xf>
    <xf numFmtId="164" fontId="28" fillId="2" borderId="58" xfId="0" applyNumberFormat="1" applyFont="1" applyFill="1" applyBorder="1" applyAlignment="1">
      <alignment horizontal="center" vertical="center"/>
    </xf>
    <xf numFmtId="166" fontId="28" fillId="2" borderId="55" xfId="0" applyNumberFormat="1" applyFont="1" applyFill="1" applyBorder="1" applyAlignment="1">
      <alignment horizontal="center" vertical="center"/>
    </xf>
    <xf numFmtId="2" fontId="27" fillId="0" borderId="13" xfId="0" applyNumberFormat="1" applyFont="1" applyBorder="1" applyAlignment="1">
      <alignment horizontal="center" vertical="center"/>
    </xf>
    <xf numFmtId="2" fontId="28" fillId="2" borderId="29" xfId="0" applyNumberFormat="1" applyFont="1" applyFill="1" applyBorder="1" applyAlignment="1">
      <alignment horizontal="center" vertical="center"/>
    </xf>
    <xf numFmtId="2" fontId="28" fillId="2" borderId="13" xfId="0" applyNumberFormat="1" applyFont="1" applyFill="1" applyBorder="1" applyAlignment="1">
      <alignment horizontal="center" vertical="center"/>
    </xf>
    <xf numFmtId="166" fontId="28" fillId="2" borderId="41" xfId="0" applyNumberFormat="1" applyFont="1" applyFill="1" applyBorder="1" applyAlignment="1">
      <alignment horizontal="center" vertical="center"/>
    </xf>
    <xf numFmtId="0" fontId="29" fillId="0" borderId="59" xfId="0" applyFont="1" applyBorder="1"/>
    <xf numFmtId="4" fontId="31" fillId="0" borderId="29" xfId="0" applyNumberFormat="1" applyFont="1" applyBorder="1" applyAlignment="1">
      <alignment horizontal="center" vertical="center"/>
    </xf>
    <xf numFmtId="164" fontId="31" fillId="2" borderId="29" xfId="0" applyNumberFormat="1" applyFont="1" applyFill="1" applyBorder="1" applyAlignment="1">
      <alignment horizontal="center" vertical="center"/>
    </xf>
    <xf numFmtId="164" fontId="28" fillId="2" borderId="52" xfId="0" applyNumberFormat="1" applyFont="1" applyFill="1" applyBorder="1" applyAlignment="1">
      <alignment horizontal="center" vertical="center"/>
    </xf>
    <xf numFmtId="4" fontId="31" fillId="0" borderId="28" xfId="0" applyNumberFormat="1" applyFont="1" applyBorder="1" applyAlignment="1">
      <alignment horizontal="center" vertical="center"/>
    </xf>
    <xf numFmtId="164" fontId="31" fillId="2" borderId="28" xfId="0" applyNumberFormat="1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1" fillId="0" borderId="42" xfId="0" applyFont="1" applyBorder="1" applyAlignment="1">
      <alignment vertical="center"/>
    </xf>
    <xf numFmtId="4" fontId="1" fillId="0" borderId="12" xfId="0" applyNumberFormat="1" applyFont="1" applyBorder="1" applyAlignment="1">
      <alignment horizontal="center" vertical="center"/>
    </xf>
    <xf numFmtId="164" fontId="28" fillId="2" borderId="12" xfId="0" applyNumberFormat="1" applyFont="1" applyFill="1" applyBorder="1" applyAlignment="1">
      <alignment horizontal="center" vertical="center"/>
    </xf>
    <xf numFmtId="2" fontId="2" fillId="5" borderId="0" xfId="0" applyNumberFormat="1" applyFont="1" applyFill="1"/>
    <xf numFmtId="164" fontId="2" fillId="5" borderId="0" xfId="0" applyNumberFormat="1" applyFont="1" applyFill="1"/>
    <xf numFmtId="0" fontId="38" fillId="2" borderId="0" xfId="0" applyFont="1" applyFill="1" applyAlignment="1">
      <alignment vertical="center" wrapText="1"/>
    </xf>
    <xf numFmtId="2" fontId="0" fillId="2" borderId="0" xfId="0" applyNumberFormat="1" applyFill="1"/>
    <xf numFmtId="2" fontId="28" fillId="2" borderId="52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164" fontId="18" fillId="4" borderId="28" xfId="0" applyNumberFormat="1" applyFont="1" applyFill="1" applyBorder="1" applyAlignment="1">
      <alignment horizontal="center" vertical="center"/>
    </xf>
    <xf numFmtId="164" fontId="18" fillId="4" borderId="12" xfId="0" applyNumberFormat="1" applyFont="1" applyFill="1" applyBorder="1" applyAlignment="1">
      <alignment horizontal="center" vertical="center"/>
    </xf>
    <xf numFmtId="2" fontId="28" fillId="2" borderId="49" xfId="0" applyNumberFormat="1" applyFont="1" applyFill="1" applyBorder="1" applyAlignment="1">
      <alignment horizontal="center" vertical="center"/>
    </xf>
    <xf numFmtId="166" fontId="37" fillId="2" borderId="24" xfId="0" applyNumberFormat="1" applyFont="1" applyFill="1" applyBorder="1" applyAlignment="1">
      <alignment wrapText="1"/>
    </xf>
    <xf numFmtId="166" fontId="37" fillId="2" borderId="56" xfId="0" applyNumberFormat="1" applyFont="1" applyFill="1" applyBorder="1" applyAlignment="1">
      <alignment wrapText="1"/>
    </xf>
    <xf numFmtId="0" fontId="29" fillId="2" borderId="40" xfId="0" applyFont="1" applyFill="1" applyBorder="1" applyAlignment="1">
      <alignment wrapText="1"/>
    </xf>
    <xf numFmtId="0" fontId="0" fillId="2" borderId="0" xfId="0" applyFill="1" applyAlignment="1">
      <alignment horizontal="center" vertical="center"/>
    </xf>
    <xf numFmtId="166" fontId="28" fillId="2" borderId="53" xfId="0" applyNumberFormat="1" applyFont="1" applyFill="1" applyBorder="1" applyAlignment="1">
      <alignment horizontal="center" vertical="center"/>
    </xf>
    <xf numFmtId="0" fontId="29" fillId="0" borderId="56" xfId="0" applyFont="1" applyBorder="1" applyAlignment="1">
      <alignment wrapText="1"/>
    </xf>
    <xf numFmtId="2" fontId="27" fillId="0" borderId="28" xfId="0" applyNumberFormat="1" applyFont="1" applyBorder="1" applyAlignment="1">
      <alignment horizontal="center" vertical="center"/>
    </xf>
    <xf numFmtId="0" fontId="0" fillId="2" borderId="23" xfId="0" applyFill="1" applyBorder="1"/>
    <xf numFmtId="0" fontId="31" fillId="2" borderId="51" xfId="0" applyFont="1" applyFill="1" applyBorder="1" applyAlignment="1">
      <alignment vertical="center" wrapText="1"/>
    </xf>
    <xf numFmtId="2" fontId="27" fillId="0" borderId="48" xfId="0" applyNumberFormat="1" applyFont="1" applyBorder="1" applyAlignment="1">
      <alignment horizontal="center" vertical="center"/>
    </xf>
    <xf numFmtId="2" fontId="27" fillId="0" borderId="21" xfId="0" applyNumberFormat="1" applyFont="1" applyBorder="1" applyAlignment="1">
      <alignment horizontal="center" vertical="center"/>
    </xf>
    <xf numFmtId="2" fontId="31" fillId="0" borderId="33" xfId="0" applyNumberFormat="1" applyFont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/>
    </xf>
    <xf numFmtId="164" fontId="19" fillId="2" borderId="52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2" fontId="31" fillId="0" borderId="52" xfId="0" applyNumberFormat="1" applyFont="1" applyBorder="1" applyAlignment="1">
      <alignment horizontal="center" vertical="center"/>
    </xf>
    <xf numFmtId="0" fontId="31" fillId="2" borderId="50" xfId="0" applyFont="1" applyFill="1" applyBorder="1" applyAlignment="1">
      <alignment vertical="center" wrapText="1"/>
    </xf>
    <xf numFmtId="166" fontId="28" fillId="2" borderId="48" xfId="0" applyNumberFormat="1" applyFont="1" applyFill="1" applyBorder="1" applyAlignment="1">
      <alignment horizontal="center" vertical="center"/>
    </xf>
    <xf numFmtId="164" fontId="13" fillId="4" borderId="9" xfId="0" applyNumberFormat="1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21" fillId="2" borderId="3" xfId="0" applyFont="1" applyFill="1" applyBorder="1" applyAlignment="1">
      <alignment vertical="center"/>
    </xf>
    <xf numFmtId="0" fontId="16" fillId="2" borderId="62" xfId="0" applyFont="1" applyFill="1" applyBorder="1" applyAlignment="1">
      <alignment horizontal="center" vertical="center" wrapText="1"/>
    </xf>
    <xf numFmtId="0" fontId="35" fillId="2" borderId="28" xfId="0" applyFont="1" applyFill="1" applyBorder="1" applyAlignment="1">
      <alignment horizontal="center" vertical="center"/>
    </xf>
    <xf numFmtId="0" fontId="31" fillId="0" borderId="28" xfId="0" applyFont="1" applyBorder="1" applyAlignment="1">
      <alignment vertical="center"/>
    </xf>
    <xf numFmtId="0" fontId="31" fillId="2" borderId="28" xfId="0" applyFont="1" applyFill="1" applyBorder="1" applyAlignment="1">
      <alignment vertical="center" wrapText="1"/>
    </xf>
    <xf numFmtId="0" fontId="35" fillId="2" borderId="29" xfId="0" applyFont="1" applyFill="1" applyBorder="1" applyAlignment="1">
      <alignment horizontal="center" vertical="center"/>
    </xf>
    <xf numFmtId="0" fontId="31" fillId="0" borderId="29" xfId="0" applyFont="1" applyBorder="1" applyAlignment="1">
      <alignment vertical="center"/>
    </xf>
    <xf numFmtId="0" fontId="37" fillId="0" borderId="30" xfId="0" applyFont="1" applyBorder="1" applyAlignment="1">
      <alignment vertical="center"/>
    </xf>
    <xf numFmtId="0" fontId="37" fillId="0" borderId="37" xfId="0" applyFont="1" applyBorder="1" applyAlignment="1">
      <alignment vertical="center" wrapText="1"/>
    </xf>
    <xf numFmtId="0" fontId="37" fillId="0" borderId="37" xfId="0" applyFont="1" applyBorder="1" applyAlignment="1">
      <alignment vertical="center"/>
    </xf>
    <xf numFmtId="0" fontId="35" fillId="2" borderId="58" xfId="0" applyFont="1" applyFill="1" applyBorder="1" applyAlignment="1">
      <alignment horizontal="center" vertical="center"/>
    </xf>
    <xf numFmtId="0" fontId="31" fillId="2" borderId="58" xfId="0" applyFont="1" applyFill="1" applyBorder="1" applyAlignment="1">
      <alignment vertical="center" wrapText="1"/>
    </xf>
    <xf numFmtId="0" fontId="37" fillId="0" borderId="55" xfId="0" applyFont="1" applyBorder="1" applyAlignment="1">
      <alignment vertical="center"/>
    </xf>
    <xf numFmtId="0" fontId="31" fillId="2" borderId="32" xfId="0" applyFont="1" applyFill="1" applyBorder="1" applyAlignment="1">
      <alignment vertical="center" wrapText="1"/>
    </xf>
    <xf numFmtId="2" fontId="31" fillId="0" borderId="29" xfId="0" applyNumberFormat="1" applyFont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164" fontId="25" fillId="2" borderId="0" xfId="0" applyNumberFormat="1" applyFont="1" applyFill="1" applyAlignment="1">
      <alignment horizontal="center" vertical="center"/>
    </xf>
    <xf numFmtId="0" fontId="0" fillId="2" borderId="50" xfId="0" applyFill="1" applyBorder="1" applyAlignment="1">
      <alignment vertical="center"/>
    </xf>
    <xf numFmtId="2" fontId="28" fillId="2" borderId="28" xfId="0" applyNumberFormat="1" applyFont="1" applyFill="1" applyBorder="1" applyAlignment="1">
      <alignment horizontal="center" vertical="center"/>
    </xf>
    <xf numFmtId="166" fontId="37" fillId="2" borderId="39" xfId="0" applyNumberFormat="1" applyFont="1" applyFill="1" applyBorder="1" applyAlignment="1">
      <alignment wrapText="1"/>
    </xf>
    <xf numFmtId="0" fontId="0" fillId="0" borderId="54" xfId="0" applyBorder="1" applyAlignment="1">
      <alignment vertical="center"/>
    </xf>
    <xf numFmtId="2" fontId="27" fillId="0" borderId="52" xfId="0" applyNumberFormat="1" applyFont="1" applyBorder="1" applyAlignment="1">
      <alignment horizontal="center" vertical="center"/>
    </xf>
    <xf numFmtId="2" fontId="28" fillId="2" borderId="33" xfId="0" applyNumberFormat="1" applyFont="1" applyFill="1" applyBorder="1" applyAlignment="1">
      <alignment horizontal="center" vertical="center"/>
    </xf>
    <xf numFmtId="2" fontId="28" fillId="2" borderId="41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wrapText="1"/>
    </xf>
    <xf numFmtId="0" fontId="29" fillId="0" borderId="39" xfId="0" applyFont="1" applyBorder="1" applyAlignment="1">
      <alignment wrapText="1"/>
    </xf>
    <xf numFmtId="0" fontId="29" fillId="0" borderId="60" xfId="0" applyFont="1" applyBorder="1" applyAlignment="1">
      <alignment wrapText="1"/>
    </xf>
    <xf numFmtId="0" fontId="3" fillId="2" borderId="9" xfId="0" applyFont="1" applyFill="1" applyBorder="1" applyAlignment="1">
      <alignment vertical="center" wrapText="1"/>
    </xf>
    <xf numFmtId="2" fontId="1" fillId="0" borderId="63" xfId="0" applyNumberFormat="1" applyFont="1" applyBorder="1" applyAlignment="1">
      <alignment horizontal="center" vertical="center"/>
    </xf>
    <xf numFmtId="2" fontId="27" fillId="0" borderId="11" xfId="0" applyNumberFormat="1" applyFont="1" applyBorder="1" applyAlignment="1">
      <alignment horizontal="center" vertical="center"/>
    </xf>
    <xf numFmtId="2" fontId="27" fillId="0" borderId="64" xfId="0" applyNumberFormat="1" applyFont="1" applyBorder="1" applyAlignment="1">
      <alignment horizontal="center" vertical="center"/>
    </xf>
    <xf numFmtId="166" fontId="28" fillId="2" borderId="11" xfId="0" applyNumberFormat="1" applyFont="1" applyFill="1" applyBorder="1" applyAlignment="1">
      <alignment horizontal="center" vertical="center"/>
    </xf>
    <xf numFmtId="166" fontId="28" fillId="2" borderId="3" xfId="0" applyNumberFormat="1" applyFont="1" applyFill="1" applyBorder="1" applyAlignment="1">
      <alignment horizontal="center" vertical="center"/>
    </xf>
    <xf numFmtId="0" fontId="29" fillId="2" borderId="61" xfId="0" applyFont="1" applyFill="1" applyBorder="1"/>
    <xf numFmtId="0" fontId="29" fillId="2" borderId="35" xfId="0" applyFont="1" applyFill="1" applyBorder="1"/>
    <xf numFmtId="0" fontId="3" fillId="2" borderId="21" xfId="0" applyFont="1" applyFill="1" applyBorder="1" applyAlignment="1">
      <alignment vertical="center"/>
    </xf>
    <xf numFmtId="2" fontId="27" fillId="0" borderId="4" xfId="0" applyNumberFormat="1" applyFont="1" applyBorder="1" applyAlignment="1">
      <alignment horizontal="center" vertical="center"/>
    </xf>
    <xf numFmtId="166" fontId="28" fillId="0" borderId="11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2" fontId="27" fillId="0" borderId="29" xfId="0" applyNumberFormat="1" applyFont="1" applyBorder="1" applyAlignment="1">
      <alignment horizontal="center" vertical="center"/>
    </xf>
    <xf numFmtId="2" fontId="27" fillId="0" borderId="58" xfId="0" applyNumberFormat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 wrapText="1"/>
    </xf>
    <xf numFmtId="166" fontId="28" fillId="2" borderId="57" xfId="0" applyNumberFormat="1" applyFont="1" applyFill="1" applyBorder="1" applyAlignment="1">
      <alignment horizontal="center" vertical="center"/>
    </xf>
    <xf numFmtId="166" fontId="28" fillId="0" borderId="4" xfId="0" applyNumberFormat="1" applyFont="1" applyBorder="1" applyAlignment="1">
      <alignment horizontal="center" vertical="center"/>
    </xf>
    <xf numFmtId="166" fontId="28" fillId="2" borderId="4" xfId="0" applyNumberFormat="1" applyFont="1" applyFill="1" applyBorder="1" applyAlignment="1">
      <alignment horizontal="center" vertical="center"/>
    </xf>
    <xf numFmtId="0" fontId="33" fillId="2" borderId="62" xfId="0" applyFont="1" applyFill="1" applyBorder="1" applyAlignment="1">
      <alignment horizontal="left" wrapText="1"/>
    </xf>
    <xf numFmtId="0" fontId="33" fillId="2" borderId="65" xfId="0" applyFont="1" applyFill="1" applyBorder="1" applyAlignment="1">
      <alignment horizontal="left" wrapText="1"/>
    </xf>
    <xf numFmtId="0" fontId="33" fillId="2" borderId="56" xfId="0" applyFont="1" applyFill="1" applyBorder="1" applyAlignment="1">
      <alignment horizontal="left" wrapText="1"/>
    </xf>
    <xf numFmtId="0" fontId="33" fillId="2" borderId="59" xfId="0" applyFont="1" applyFill="1" applyBorder="1" applyAlignment="1">
      <alignment horizontal="left" wrapText="1"/>
    </xf>
    <xf numFmtId="0" fontId="0" fillId="2" borderId="14" xfId="0" applyFill="1" applyBorder="1" applyAlignment="1">
      <alignment vertical="center" wrapText="1"/>
    </xf>
    <xf numFmtId="0" fontId="1" fillId="2" borderId="66" xfId="0" applyFont="1" applyFill="1" applyBorder="1" applyAlignment="1">
      <alignment vertical="center" wrapText="1"/>
    </xf>
    <xf numFmtId="0" fontId="3" fillId="0" borderId="63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/>
    </xf>
    <xf numFmtId="0" fontId="0" fillId="2" borderId="42" xfId="0" applyFill="1" applyBorder="1" applyAlignment="1">
      <alignment vertical="center"/>
    </xf>
    <xf numFmtId="2" fontId="28" fillId="2" borderId="12" xfId="0" applyNumberFormat="1" applyFont="1" applyFill="1" applyBorder="1" applyAlignment="1">
      <alignment horizontal="center" vertical="center"/>
    </xf>
    <xf numFmtId="166" fontId="37" fillId="2" borderId="61" xfId="0" applyNumberFormat="1" applyFont="1" applyFill="1" applyBorder="1" applyAlignment="1">
      <alignment wrapText="1"/>
    </xf>
    <xf numFmtId="2" fontId="18" fillId="2" borderId="28" xfId="0" applyNumberFormat="1" applyFont="1" applyFill="1" applyBorder="1" applyAlignment="1">
      <alignment horizontal="center" vertical="center"/>
    </xf>
    <xf numFmtId="164" fontId="18" fillId="4" borderId="58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left"/>
    </xf>
    <xf numFmtId="164" fontId="13" fillId="2" borderId="22" xfId="0" applyNumberFormat="1" applyFont="1" applyFill="1" applyBorder="1" applyAlignment="1">
      <alignment horizontal="center" vertical="center"/>
    </xf>
    <xf numFmtId="164" fontId="18" fillId="2" borderId="9" xfId="0" applyNumberFormat="1" applyFont="1" applyFill="1" applyBorder="1" applyAlignment="1">
      <alignment horizontal="center" vertical="center"/>
    </xf>
    <xf numFmtId="164" fontId="13" fillId="2" borderId="20" xfId="0" applyNumberFormat="1" applyFont="1" applyFill="1" applyBorder="1" applyAlignment="1">
      <alignment horizontal="center" vertical="center"/>
    </xf>
    <xf numFmtId="164" fontId="14" fillId="2" borderId="26" xfId="0" applyNumberFormat="1" applyFont="1" applyFill="1" applyBorder="1" applyAlignment="1">
      <alignment horizontal="center" vertical="center"/>
    </xf>
    <xf numFmtId="164" fontId="3" fillId="2" borderId="28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18" fillId="2" borderId="28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2" fontId="3" fillId="2" borderId="21" xfId="0" applyNumberFormat="1" applyFont="1" applyFill="1" applyBorder="1" applyAlignment="1">
      <alignment horizontal="center" vertical="center"/>
    </xf>
    <xf numFmtId="164" fontId="3" fillId="2" borderId="34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164" fontId="28" fillId="2" borderId="34" xfId="0" applyNumberFormat="1" applyFont="1" applyFill="1" applyBorder="1" applyAlignment="1">
      <alignment horizontal="center" vertical="center"/>
    </xf>
    <xf numFmtId="2" fontId="18" fillId="2" borderId="63" xfId="0" applyNumberFormat="1" applyFont="1" applyFill="1" applyBorder="1" applyAlignment="1">
      <alignment horizontal="center" vertical="center"/>
    </xf>
    <xf numFmtId="2" fontId="31" fillId="0" borderId="34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52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2" fontId="1" fillId="0" borderId="34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52" xfId="0" applyNumberFormat="1" applyFont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39" fillId="4" borderId="7" xfId="0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39" fillId="4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64" fontId="19" fillId="2" borderId="18" xfId="0" applyNumberFormat="1" applyFont="1" applyFill="1" applyBorder="1" applyAlignment="1">
      <alignment horizontal="center" vertical="center"/>
    </xf>
    <xf numFmtId="164" fontId="19" fillId="2" borderId="19" xfId="0" applyNumberFormat="1" applyFont="1" applyFill="1" applyBorder="1" applyAlignment="1">
      <alignment horizontal="center" vertical="center"/>
    </xf>
    <xf numFmtId="164" fontId="19" fillId="2" borderId="23" xfId="0" applyNumberFormat="1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40" fillId="3" borderId="3" xfId="0" applyFont="1" applyFill="1" applyBorder="1" applyAlignment="1">
      <alignment horizontal="center" vertical="center"/>
    </xf>
    <xf numFmtId="0" fontId="41" fillId="4" borderId="7" xfId="0" applyFont="1" applyFill="1" applyBorder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41" fillId="4" borderId="8" xfId="0" applyFont="1" applyFill="1" applyBorder="1" applyAlignment="1">
      <alignment horizontal="center" vertical="center"/>
    </xf>
  </cellXfs>
  <cellStyles count="2">
    <cellStyle name="Normal" xfId="0" builtinId="0"/>
    <cellStyle name="Normal 3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510540</xdr:colOff>
      <xdr:row>3</xdr:row>
      <xdr:rowOff>533400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74420" cy="76199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495300</xdr:colOff>
      <xdr:row>21</xdr:row>
      <xdr:rowOff>510540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59180" cy="72389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525780</xdr:colOff>
      <xdr:row>3</xdr:row>
      <xdr:rowOff>480060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89660" cy="7086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518160</xdr:colOff>
      <xdr:row>21</xdr:row>
      <xdr:rowOff>510540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82040" cy="72389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525780</xdr:colOff>
      <xdr:row>3</xdr:row>
      <xdr:rowOff>518160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89660" cy="7467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541020</xdr:colOff>
      <xdr:row>21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104900" cy="71627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541020</xdr:colOff>
      <xdr:row>3</xdr:row>
      <xdr:rowOff>487680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104900" cy="71627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525780</xdr:colOff>
      <xdr:row>21</xdr:row>
      <xdr:rowOff>518160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89660" cy="73151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533400</xdr:colOff>
      <xdr:row>3</xdr:row>
      <xdr:rowOff>472440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97280" cy="70103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541020</xdr:colOff>
      <xdr:row>21</xdr:row>
      <xdr:rowOff>510540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104900" cy="723899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548640</xdr:colOff>
      <xdr:row>3</xdr:row>
      <xdr:rowOff>426720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112520" cy="6553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563880</xdr:colOff>
      <xdr:row>21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127760" cy="746759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541020</xdr:colOff>
      <xdr:row>3</xdr:row>
      <xdr:rowOff>487680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104900" cy="71627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525780</xdr:colOff>
      <xdr:row>21</xdr:row>
      <xdr:rowOff>480060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89660" cy="693419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556260</xdr:colOff>
      <xdr:row>3</xdr:row>
      <xdr:rowOff>495300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120140" cy="72389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541020</xdr:colOff>
      <xdr:row>21</xdr:row>
      <xdr:rowOff>502920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104900" cy="716279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495300</xdr:colOff>
      <xdr:row>3</xdr:row>
      <xdr:rowOff>472440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59180" cy="70103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487680</xdr:colOff>
      <xdr:row>21</xdr:row>
      <xdr:rowOff>464820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51560" cy="678179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510540</xdr:colOff>
      <xdr:row>3</xdr:row>
      <xdr:rowOff>449580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74420" cy="67817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495300</xdr:colOff>
      <xdr:row>21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59180" cy="708659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525780</xdr:colOff>
      <xdr:row>3</xdr:row>
      <xdr:rowOff>472440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89660" cy="70103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541020</xdr:colOff>
      <xdr:row>21</xdr:row>
      <xdr:rowOff>563880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104900" cy="777239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556260</xdr:colOff>
      <xdr:row>3</xdr:row>
      <xdr:rowOff>434340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120140" cy="66293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495300</xdr:colOff>
      <xdr:row>21</xdr:row>
      <xdr:rowOff>449580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59180" cy="662939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487680</xdr:colOff>
      <xdr:row>3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051560" cy="68579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502920</xdr:colOff>
      <xdr:row>21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66800" cy="708659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167641</xdr:rowOff>
    </xdr:from>
    <xdr:to>
      <xdr:col>2</xdr:col>
      <xdr:colOff>556260</xdr:colOff>
      <xdr:row>3</xdr:row>
      <xdr:rowOff>464820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799FC-B182-4856-9CFD-0056248265A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967741"/>
          <a:ext cx="1120140" cy="693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45720</xdr:colOff>
      <xdr:row>20</xdr:row>
      <xdr:rowOff>114301</xdr:rowOff>
    </xdr:from>
    <xdr:to>
      <xdr:col>2</xdr:col>
      <xdr:colOff>533400</xdr:colOff>
      <xdr:row>21</xdr:row>
      <xdr:rowOff>548640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4573-822A-4DE7-8EE7-380DF73AA6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" y="7406641"/>
          <a:ext cx="1097280" cy="761999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17192/AppData/Local/Microsoft/Windows/INetCache/Content.Outlook/JDIA0APT/3RD%20AUGUST%202021%20-%20DAILY%20GAS%20OPERATIONS%20OFFTAKE.xlsx" TargetMode="External"/><Relationship Id="rId1" Type="http://schemas.openxmlformats.org/officeDocument/2006/relationships/externalLinkPath" Target="/Users/17192/AppData/Local/Microsoft/Windows/INetCache/Content.Outlook/JDIA0APT/3RD%20AUGUST%202021%20-%20DAILY%20GAS%20OPERATIONS%20OFFTAK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SHEET"/>
      <sheetName val="OPS GAS OFFTAKE"/>
    </sheetNames>
    <sheetDataSet>
      <sheetData sheetId="0" refreshError="1"/>
      <sheetData sheetId="1" refreshError="1">
        <row r="5">
          <cell r="M5">
            <v>44411</v>
          </cell>
        </row>
        <row r="109">
          <cell r="H109">
            <v>73.51373756000001</v>
          </cell>
          <cell r="I109">
            <v>73.51373756000001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4"/>
  <sheetViews>
    <sheetView tabSelected="1" topLeftCell="A37" zoomScaleNormal="100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356.55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444.77</v>
      </c>
      <c r="F7" s="17">
        <f>F25</f>
        <v>269.11405463924092</v>
      </c>
      <c r="G7" s="18" t="e">
        <f>G25</f>
        <v>#REF!</v>
      </c>
      <c r="H7" s="259">
        <f>H25</f>
        <v>187.22130478999998</v>
      </c>
      <c r="I7" s="19"/>
      <c r="J7" s="20"/>
      <c r="K7" s="21" t="str">
        <f>K25</f>
        <v>93 Stations on stream, 4 on shutdown, 7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E64</f>
        <v>204</v>
      </c>
      <c r="F8" s="25">
        <f>F64</f>
        <v>96.130229892377258</v>
      </c>
      <c r="G8" s="26" t="e">
        <f>G64</f>
        <v>#REF!</v>
      </c>
      <c r="H8" s="260">
        <f>H64</f>
        <v>80.387999999999991</v>
      </c>
      <c r="I8" s="27"/>
      <c r="J8" s="28"/>
      <c r="K8" s="29" t="str">
        <f>K64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E71</f>
        <v>23.2</v>
      </c>
      <c r="F9" s="16">
        <f>F71</f>
        <v>10.851429663121696</v>
      </c>
      <c r="G9" s="32" t="e">
        <f>G71</f>
        <v>#REF!</v>
      </c>
      <c r="H9" s="261">
        <f>H71</f>
        <v>6.2270000000000003</v>
      </c>
      <c r="I9" s="33"/>
      <c r="J9" s="34"/>
      <c r="K9" s="35" t="str">
        <f>K71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E77</f>
        <v>22.4</v>
      </c>
      <c r="F10" s="37">
        <f>F77</f>
        <v>3</v>
      </c>
      <c r="G10" s="37">
        <f>G77</f>
        <v>3</v>
      </c>
      <c r="H10" s="262">
        <f>H77</f>
        <v>0.43168393999999999</v>
      </c>
      <c r="I10" s="33"/>
      <c r="J10" s="34"/>
      <c r="K10" s="38" t="str">
        <f>K77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694.37</v>
      </c>
      <c r="F11" s="40">
        <f>G20+F10</f>
        <v>380</v>
      </c>
      <c r="G11" s="40">
        <f>E20+G10</f>
        <v>356.55</v>
      </c>
      <c r="H11" s="188">
        <f>SUM(H7:H10)</f>
        <v>274.26798872999996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91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E85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H85</f>
        <v>48.828901770000002</v>
      </c>
      <c r="I14" s="44"/>
      <c r="J14" s="45"/>
      <c r="K14" s="21" t="str">
        <f>K85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H92</f>
        <v>20.44990177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353.55</v>
      </c>
      <c r="F20" s="171" t="s">
        <v>21</v>
      </c>
      <c r="G20" s="4">
        <v>377</v>
      </c>
      <c r="H20" s="258"/>
      <c r="I20" s="1"/>
      <c r="J20" s="5" t="s">
        <v>1</v>
      </c>
      <c r="K20" s="6"/>
      <c r="L20" s="7" t="e">
        <f>E20-F28-F65-F68-#REF!</f>
        <v>#REF!</v>
      </c>
      <c r="M20" s="7">
        <f>G20-F28-F65-F68</f>
        <v>284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SUM(E26:E61)</f>
        <v>444.77</v>
      </c>
      <c r="F25" s="17">
        <f>SUM(F26:F61)</f>
        <v>269.11405463924092</v>
      </c>
      <c r="G25" s="18" t="e">
        <f>G33+G42+G51+G58+G62</f>
        <v>#REF!</v>
      </c>
      <c r="H25" s="18">
        <f>SUM(H26:H31)+SUM(H36:H40)+SUM(H44:H50)+SUM(H54:H57)+SUM(H60:H61)</f>
        <v>187.22130478999998</v>
      </c>
      <c r="I25" s="19"/>
      <c r="J25" s="20"/>
      <c r="K25" s="21" t="s">
        <v>90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M26*M$20/M$83</f>
        <v>82.470865439724889</v>
      </c>
      <c r="G26" s="56" t="e">
        <f>L26</f>
        <v>#REF!</v>
      </c>
      <c r="H26" s="263">
        <v>56.8</v>
      </c>
      <c r="I26" s="57">
        <v>16.600000000000001</v>
      </c>
      <c r="J26" s="58">
        <v>10.5</v>
      </c>
      <c r="K26" s="59"/>
      <c r="L26" s="60" t="e">
        <f>F26*L$20/E$94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M27*M$20/M$83</f>
        <v>15.553715850474429</v>
      </c>
      <c r="G27" s="56" t="e">
        <f t="shared" ref="G27:G67" si="0">L27</f>
        <v>#REF!</v>
      </c>
      <c r="H27" s="263">
        <v>13.114434510000001</v>
      </c>
      <c r="I27" s="66">
        <v>22.1</v>
      </c>
      <c r="J27" s="67">
        <v>9.8000000000000007</v>
      </c>
      <c r="K27" s="68"/>
      <c r="L27" s="60" t="e">
        <f>F27*L$20/E$94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M29*M$20/M$83</f>
        <v>0.4340571865248678</v>
      </c>
      <c r="G29" s="56" t="e">
        <f t="shared" si="0"/>
        <v>#REF!</v>
      </c>
      <c r="H29" s="263">
        <v>2.7982E-2</v>
      </c>
      <c r="I29" s="66">
        <v>24</v>
      </c>
      <c r="J29" s="67">
        <v>18.100000000000001</v>
      </c>
      <c r="K29" s="75"/>
      <c r="L29" s="60" t="e">
        <f>F29*L$20/E$94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M30*M$20/M$83</f>
        <v>41.597147041966501</v>
      </c>
      <c r="G30" s="56" t="e">
        <f>L30</f>
        <v>#REF!</v>
      </c>
      <c r="H30" s="263">
        <v>29.887046720000001</v>
      </c>
      <c r="I30" s="66">
        <v>21</v>
      </c>
      <c r="J30" s="67">
        <v>14.2</v>
      </c>
      <c r="K30" s="68"/>
      <c r="L30" s="60" t="e">
        <f>F30*L$20/E$94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M31*M$20/M$83</f>
        <v>101.28001018913582</v>
      </c>
      <c r="G31" s="56" t="e">
        <f t="shared" si="0"/>
        <v>#REF!</v>
      </c>
      <c r="H31" s="263">
        <v>64.141000000000005</v>
      </c>
      <c r="I31" s="66">
        <v>17.7</v>
      </c>
      <c r="J31" s="67" t="s">
        <v>88</v>
      </c>
      <c r="K31" s="68"/>
      <c r="L31" s="60" t="e">
        <f>F31*L$20/E$94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173.97046323000001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M36*M$20/M$83</f>
        <v>1.8085716105202825</v>
      </c>
      <c r="G36" s="56" t="e">
        <f t="shared" si="0"/>
        <v>#REF!</v>
      </c>
      <c r="H36" s="263">
        <v>0.86598131</v>
      </c>
      <c r="I36" s="99">
        <v>23</v>
      </c>
      <c r="J36" s="100">
        <v>23</v>
      </c>
      <c r="K36" s="75"/>
      <c r="L36" s="60" t="e">
        <f>F36*L$20/E$94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M37*M$20/M$83</f>
        <v>0.25320002547283954</v>
      </c>
      <c r="G37" s="56" t="e">
        <f t="shared" si="0"/>
        <v>#REF!</v>
      </c>
      <c r="H37" s="263">
        <v>0.23070840000000001</v>
      </c>
      <c r="I37" s="66">
        <v>21</v>
      </c>
      <c r="J37" s="67">
        <v>3.5</v>
      </c>
      <c r="K37" s="75"/>
      <c r="L37" s="60" t="e">
        <f>F37*L$20/E$94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M38*M$20/M$83</f>
        <v>0.25320002547283954</v>
      </c>
      <c r="G38" s="56" t="e">
        <f t="shared" si="0"/>
        <v>#REF!</v>
      </c>
      <c r="H38" s="263">
        <v>0.15051185</v>
      </c>
      <c r="I38" s="66">
        <v>23</v>
      </c>
      <c r="J38" s="67">
        <v>3</v>
      </c>
      <c r="K38" s="75"/>
      <c r="L38" s="60" t="e">
        <f>F38*L$20/E$94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M39*M$20/M$83</f>
        <v>0.36171432210405652</v>
      </c>
      <c r="G39" s="56" t="e">
        <f t="shared" si="0"/>
        <v>#REF!</v>
      </c>
      <c r="H39" s="264">
        <v>0.2715322</v>
      </c>
      <c r="I39" s="66">
        <v>21</v>
      </c>
      <c r="J39" s="67">
        <v>3.8</v>
      </c>
      <c r="K39" s="75"/>
      <c r="L39" s="60" t="e">
        <f>F39*L$20/E$94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M40*M$20/M$83</f>
        <v>0.18085716105202826</v>
      </c>
      <c r="G40" s="56" t="e">
        <f t="shared" si="0"/>
        <v>#REF!</v>
      </c>
      <c r="H40" s="263">
        <v>1.9976259999999999E-2</v>
      </c>
      <c r="I40" s="66">
        <v>21</v>
      </c>
      <c r="J40" s="67">
        <v>3.5</v>
      </c>
      <c r="K40" s="75"/>
      <c r="L40" s="60" t="e">
        <f>F40*L$20/E$94</f>
        <v>#REF!</v>
      </c>
      <c r="M40" s="61">
        <v>0.5</v>
      </c>
    </row>
    <row r="41" spans="2:13" ht="15.5" x14ac:dyDescent="0.35">
      <c r="B41" s="62"/>
      <c r="C41" s="85"/>
      <c r="D41" s="104"/>
      <c r="E41" s="105"/>
      <c r="F41" s="55"/>
      <c r="G41" s="79"/>
      <c r="H41" s="165"/>
      <c r="I41" s="87"/>
      <c r="J41" s="102"/>
      <c r="K41" s="74"/>
      <c r="L41" s="60"/>
      <c r="M41" s="80"/>
    </row>
    <row r="42" spans="2:13" ht="19" thickBot="1" x14ac:dyDescent="0.4">
      <c r="B42" s="84"/>
      <c r="C42" s="85"/>
      <c r="D42" s="103"/>
      <c r="E42" s="101"/>
      <c r="F42" s="78"/>
      <c r="G42" s="173" t="e">
        <f>SUM(G36:G40)</f>
        <v>#REF!</v>
      </c>
      <c r="H42" s="173">
        <f>SUM(H36:H40)</f>
        <v>1.5387100199999999</v>
      </c>
      <c r="I42" s="87"/>
      <c r="J42" s="102"/>
      <c r="K42" s="75"/>
      <c r="L42" s="60"/>
      <c r="M42" s="61"/>
    </row>
    <row r="43" spans="2:13" ht="20.25" customHeight="1" thickBot="1" x14ac:dyDescent="0.4">
      <c r="B43" s="106"/>
      <c r="C43" s="107"/>
      <c r="D43" s="91" t="s">
        <v>36</v>
      </c>
      <c r="E43" s="108"/>
      <c r="F43" s="185"/>
      <c r="G43" s="93"/>
      <c r="H43" s="268"/>
      <c r="I43" s="94"/>
      <c r="J43" s="109"/>
      <c r="K43" s="75"/>
      <c r="L43" s="60"/>
      <c r="M43" s="61"/>
    </row>
    <row r="44" spans="2:13" ht="21.75" customHeight="1" x14ac:dyDescent="0.35">
      <c r="B44" s="51">
        <v>86</v>
      </c>
      <c r="C44" s="110">
        <v>86</v>
      </c>
      <c r="D44" s="111" t="s">
        <v>37</v>
      </c>
      <c r="E44" s="275">
        <v>1.5</v>
      </c>
      <c r="F44" s="184">
        <f>M44*M$20/M$83</f>
        <v>0.90428580526014124</v>
      </c>
      <c r="G44" s="56" t="e">
        <f t="shared" si="0"/>
        <v>#REF!</v>
      </c>
      <c r="H44" s="269">
        <v>0.66013474000000005</v>
      </c>
      <c r="I44" s="99">
        <v>16.5</v>
      </c>
      <c r="J44" s="100">
        <v>3.8</v>
      </c>
      <c r="K44" s="177"/>
      <c r="L44" s="60" t="e">
        <f>F44*L$20/E$94</f>
        <v>#REF!</v>
      </c>
      <c r="M44" s="61">
        <v>2.5</v>
      </c>
    </row>
    <row r="45" spans="2:13" ht="15.5" x14ac:dyDescent="0.35">
      <c r="B45" s="62">
        <f>B44+1</f>
        <v>87</v>
      </c>
      <c r="C45" s="112">
        <f>C44+1</f>
        <v>87</v>
      </c>
      <c r="D45" s="113" t="s">
        <v>38</v>
      </c>
      <c r="E45" s="274">
        <v>1.5</v>
      </c>
      <c r="F45" s="55">
        <f>M45*M$20/M$83</f>
        <v>1.4468572884162261</v>
      </c>
      <c r="G45" s="56" t="e">
        <f t="shared" si="0"/>
        <v>#REF!</v>
      </c>
      <c r="H45" s="265">
        <v>1.36050008</v>
      </c>
      <c r="I45" s="87">
        <v>16.5</v>
      </c>
      <c r="J45" s="88">
        <v>4.3</v>
      </c>
      <c r="K45" s="75"/>
      <c r="L45" s="60" t="e">
        <f>F45*L$20/E$94</f>
        <v>#REF!</v>
      </c>
      <c r="M45" s="61">
        <v>4</v>
      </c>
    </row>
    <row r="46" spans="2:13" ht="18.75" customHeight="1" x14ac:dyDescent="0.35">
      <c r="B46" s="62">
        <f t="shared" ref="B46:C50" si="3">B45+1</f>
        <v>88</v>
      </c>
      <c r="C46" s="112">
        <f t="shared" si="3"/>
        <v>88</v>
      </c>
      <c r="D46" s="114" t="s">
        <v>39</v>
      </c>
      <c r="E46" s="101">
        <v>1.5</v>
      </c>
      <c r="F46" s="55">
        <f>M46*M$20/M$83</f>
        <v>1.0851429663121694</v>
      </c>
      <c r="G46" s="56" t="e">
        <f t="shared" si="0"/>
        <v>#REF!</v>
      </c>
      <c r="H46" s="265">
        <v>0.61355194000000002</v>
      </c>
      <c r="I46" s="87">
        <v>13</v>
      </c>
      <c r="J46" s="102">
        <v>4.0999999999999996</v>
      </c>
      <c r="K46" s="75"/>
      <c r="L46" s="60" t="e">
        <f>F46*L$20/E$94</f>
        <v>#REF!</v>
      </c>
      <c r="M46" s="61">
        <v>3</v>
      </c>
    </row>
    <row r="47" spans="2:13" ht="15.5" x14ac:dyDescent="0.35">
      <c r="B47" s="62">
        <f t="shared" si="3"/>
        <v>89</v>
      </c>
      <c r="C47" s="112">
        <f t="shared" si="3"/>
        <v>89</v>
      </c>
      <c r="D47" s="115" t="s">
        <v>40</v>
      </c>
      <c r="E47" s="65">
        <v>1.27</v>
      </c>
      <c r="F47" s="55">
        <f>M47*M$20/M$83</f>
        <v>0.32554288989365088</v>
      </c>
      <c r="G47" s="56" t="e">
        <f t="shared" si="0"/>
        <v>#REF!</v>
      </c>
      <c r="H47" s="263">
        <v>0.20997550000000001</v>
      </c>
      <c r="I47" s="66">
        <v>17.3</v>
      </c>
      <c r="J47" s="67">
        <v>3.9</v>
      </c>
      <c r="K47" s="75"/>
      <c r="L47" s="60" t="e">
        <f>F47*L$20/E$94</f>
        <v>#REF!</v>
      </c>
      <c r="M47" s="61">
        <v>0.9</v>
      </c>
    </row>
    <row r="48" spans="2:13" ht="15" customHeight="1" x14ac:dyDescent="0.35">
      <c r="B48" s="62">
        <f t="shared" si="3"/>
        <v>90</v>
      </c>
      <c r="C48" s="112">
        <f t="shared" si="3"/>
        <v>90</v>
      </c>
      <c r="D48" s="115" t="s">
        <v>41</v>
      </c>
      <c r="E48" s="65">
        <v>8.5</v>
      </c>
      <c r="F48" s="55">
        <f>M48*M$20/M$83</f>
        <v>2.3511430936763671</v>
      </c>
      <c r="G48" s="181" t="e">
        <f t="shared" si="0"/>
        <v>#REF!</v>
      </c>
      <c r="H48" s="263">
        <v>2.5140595999999999</v>
      </c>
      <c r="I48" s="66">
        <v>14</v>
      </c>
      <c r="J48" s="67">
        <v>4.3</v>
      </c>
      <c r="K48" s="75"/>
      <c r="L48" s="60" t="e">
        <f>F48*L$20/E$94</f>
        <v>#REF!</v>
      </c>
      <c r="M48" s="61">
        <v>6.5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43</v>
      </c>
      <c r="E49" s="275">
        <v>1</v>
      </c>
      <c r="F49" s="184">
        <f>M49*M$20/M$83</f>
        <v>5.4257148315608475E-2</v>
      </c>
      <c r="G49" s="56" t="e">
        <f t="shared" si="0"/>
        <v>#REF!</v>
      </c>
      <c r="H49" s="71">
        <v>0</v>
      </c>
      <c r="I49" s="66">
        <v>20</v>
      </c>
      <c r="J49" s="67">
        <v>0</v>
      </c>
      <c r="K49" s="75" t="s">
        <v>87</v>
      </c>
      <c r="L49" s="60" t="e">
        <f>F49*L$20/E$94</f>
        <v>#REF!</v>
      </c>
      <c r="M49" s="61">
        <v>0.15</v>
      </c>
    </row>
    <row r="50" spans="2:13" ht="19.25" customHeight="1" x14ac:dyDescent="0.35">
      <c r="B50" s="62" t="e">
        <f t="shared" si="3"/>
        <v>#REF!</v>
      </c>
      <c r="C50" s="112" t="e">
        <f t="shared" si="3"/>
        <v>#REF!</v>
      </c>
      <c r="D50" s="183" t="s">
        <v>85</v>
      </c>
      <c r="E50" s="275"/>
      <c r="F50" s="184">
        <f>M50*M$20/M$83</f>
        <v>1.4468572884162261</v>
      </c>
      <c r="G50" s="56" t="e">
        <f t="shared" si="0"/>
        <v>#REF!</v>
      </c>
      <c r="H50" s="159">
        <v>9.8835290000000006E-2</v>
      </c>
      <c r="I50" s="123">
        <v>17.5</v>
      </c>
      <c r="J50" s="179">
        <v>2.9</v>
      </c>
      <c r="K50" s="74"/>
      <c r="L50" s="60" t="e">
        <f>F50*L$20/E$94</f>
        <v>#REF!</v>
      </c>
      <c r="M50" s="61">
        <v>4</v>
      </c>
    </row>
    <row r="51" spans="2:13" ht="18.5" x14ac:dyDescent="0.35">
      <c r="B51" s="96"/>
      <c r="C51" s="116"/>
      <c r="D51" s="117"/>
      <c r="E51" s="275"/>
      <c r="F51" s="55"/>
      <c r="G51" s="172" t="e">
        <f>SUM(G44:G50)</f>
        <v>#REF!</v>
      </c>
      <c r="H51" s="266"/>
      <c r="I51" s="66"/>
      <c r="J51" s="67"/>
      <c r="K51" s="118"/>
      <c r="L51" s="60"/>
      <c r="M51" s="61"/>
    </row>
    <row r="52" spans="2:13" ht="19" thickBot="1" x14ac:dyDescent="0.4">
      <c r="B52" s="84"/>
      <c r="C52" s="119"/>
      <c r="D52" s="120"/>
      <c r="E52" s="121"/>
      <c r="F52" s="78"/>
      <c r="G52" s="56"/>
      <c r="H52" s="256"/>
      <c r="I52" s="123"/>
      <c r="J52" s="124"/>
      <c r="K52" s="125"/>
      <c r="L52" s="60"/>
      <c r="M52" s="61"/>
    </row>
    <row r="53" spans="2:13" ht="18.75" customHeight="1" thickBot="1" x14ac:dyDescent="0.4">
      <c r="B53" s="106"/>
      <c r="C53" s="107"/>
      <c r="D53" s="226" t="s">
        <v>45</v>
      </c>
      <c r="E53" s="227"/>
      <c r="F53" s="228"/>
      <c r="G53" s="229"/>
      <c r="H53" s="270"/>
      <c r="I53" s="230"/>
      <c r="J53" s="231"/>
      <c r="K53" s="232"/>
      <c r="L53" s="60"/>
      <c r="M53" s="61"/>
    </row>
    <row r="54" spans="2:13" ht="21" customHeight="1" x14ac:dyDescent="0.35">
      <c r="B54" s="51">
        <v>99</v>
      </c>
      <c r="C54" s="52">
        <v>99</v>
      </c>
      <c r="D54" s="208" t="s">
        <v>46</v>
      </c>
      <c r="E54" s="54">
        <v>5</v>
      </c>
      <c r="F54" s="152">
        <f>M54*M$20/M$83</f>
        <v>1.0851429663121694</v>
      </c>
      <c r="G54" s="209" t="e">
        <f>L54</f>
        <v>#REF!</v>
      </c>
      <c r="H54" s="135">
        <v>1.4662419799999999</v>
      </c>
      <c r="I54" s="57">
        <v>20</v>
      </c>
      <c r="J54" s="58">
        <v>3.4</v>
      </c>
      <c r="K54" s="233"/>
      <c r="L54" s="60" t="e">
        <f>F54*L$20/E$94</f>
        <v>#REF!</v>
      </c>
      <c r="M54" s="61">
        <v>3</v>
      </c>
    </row>
    <row r="55" spans="2:13" ht="21" customHeight="1" x14ac:dyDescent="0.35">
      <c r="B55" s="126">
        <v>100</v>
      </c>
      <c r="C55" s="127">
        <v>100</v>
      </c>
      <c r="D55" s="191" t="s">
        <v>47</v>
      </c>
      <c r="E55" s="65">
        <v>5</v>
      </c>
      <c r="F55" s="184">
        <f>M55*M$20/M$83</f>
        <v>1.0851429663121694</v>
      </c>
      <c r="G55" s="273" t="e">
        <f>L55</f>
        <v>#REF!</v>
      </c>
      <c r="H55" s="271">
        <v>0.54307780999999999</v>
      </c>
      <c r="I55" s="192">
        <v>22</v>
      </c>
      <c r="J55" s="100">
        <v>6.4</v>
      </c>
      <c r="K55" s="68"/>
      <c r="L55" s="60" t="e">
        <f>F55*L$20/E$94</f>
        <v>#REF!</v>
      </c>
      <c r="M55" s="61">
        <v>3</v>
      </c>
    </row>
    <row r="56" spans="2:13" ht="21" customHeight="1" x14ac:dyDescent="0.35">
      <c r="B56" s="62">
        <v>101</v>
      </c>
      <c r="C56" s="63">
        <v>101</v>
      </c>
      <c r="D56" s="69" t="s">
        <v>48</v>
      </c>
      <c r="E56" s="65">
        <v>1</v>
      </c>
      <c r="F56" s="184">
        <f>M56*M$20/M$83</f>
        <v>0.18085716105202826</v>
      </c>
      <c r="G56" s="273" t="e">
        <f>L56</f>
        <v>#REF!</v>
      </c>
      <c r="H56" s="271">
        <v>4.6371059999999999E-2</v>
      </c>
      <c r="I56" s="192">
        <v>21</v>
      </c>
      <c r="J56" s="100">
        <v>3.9</v>
      </c>
      <c r="K56" s="68"/>
      <c r="L56" s="60" t="e">
        <f>F56*L$20/E$94</f>
        <v>#REF!</v>
      </c>
      <c r="M56" s="61">
        <v>0.5</v>
      </c>
    </row>
    <row r="57" spans="2:13" ht="18.75" customHeight="1" x14ac:dyDescent="0.35">
      <c r="B57" s="84">
        <v>102</v>
      </c>
      <c r="C57" s="85">
        <v>102</v>
      </c>
      <c r="D57" s="104" t="s">
        <v>89</v>
      </c>
      <c r="E57" s="65"/>
      <c r="F57" s="55"/>
      <c r="G57" s="186"/>
      <c r="H57" s="271">
        <v>0</v>
      </c>
      <c r="I57" s="128">
        <v>20</v>
      </c>
      <c r="J57" s="100">
        <v>0</v>
      </c>
      <c r="K57" s="75" t="s">
        <v>44</v>
      </c>
      <c r="L57" s="60" t="e">
        <f>F57*L$20/E$94</f>
        <v>#REF!</v>
      </c>
      <c r="M57" s="61">
        <v>0.5</v>
      </c>
    </row>
    <row r="58" spans="2:13" ht="19" thickBot="1" x14ac:dyDescent="0.4">
      <c r="B58" s="84"/>
      <c r="C58" s="85"/>
      <c r="D58" s="103"/>
      <c r="E58" s="121"/>
      <c r="F58" s="78"/>
      <c r="G58" s="173" t="e">
        <f>SUM(G54:G57)</f>
        <v>#REF!</v>
      </c>
      <c r="H58" s="173">
        <f>SUM(H54:H57)</f>
        <v>2.05569085</v>
      </c>
      <c r="I58" s="123"/>
      <c r="J58" s="124"/>
      <c r="K58" s="125"/>
      <c r="L58" s="60" t="e">
        <f>F58*L$20/E$94</f>
        <v>#REF!</v>
      </c>
      <c r="M58" s="61"/>
    </row>
    <row r="59" spans="2:13" ht="19" thickBot="1" x14ac:dyDescent="0.4">
      <c r="B59" s="237"/>
      <c r="C59" s="252"/>
      <c r="D59" s="251" t="s">
        <v>49</v>
      </c>
      <c r="E59" s="276"/>
      <c r="F59" s="229"/>
      <c r="G59" s="235"/>
      <c r="H59" s="272"/>
      <c r="I59" s="236"/>
      <c r="J59" s="243"/>
      <c r="K59" s="245"/>
      <c r="L59" s="60" t="e">
        <f>F59*L$20/E$94</f>
        <v>#REF!</v>
      </c>
      <c r="M59" s="61"/>
    </row>
    <row r="60" spans="2:13" ht="20" customHeight="1" x14ac:dyDescent="0.35">
      <c r="B60" s="51">
        <v>103</v>
      </c>
      <c r="C60" s="52">
        <v>103</v>
      </c>
      <c r="D60" s="249" t="s">
        <v>50</v>
      </c>
      <c r="E60" s="54">
        <v>2</v>
      </c>
      <c r="F60" s="152">
        <f>M60*M$20/M$83</f>
        <v>1.3383429917850089</v>
      </c>
      <c r="G60" s="238" t="e">
        <f>L60</f>
        <v>#REF!</v>
      </c>
      <c r="H60" s="135">
        <v>1.0118085400000001</v>
      </c>
      <c r="I60" s="57">
        <v>20.399999999999999</v>
      </c>
      <c r="J60" s="136">
        <v>5.0999999999999996</v>
      </c>
      <c r="K60" s="247"/>
      <c r="L60" s="60" t="e">
        <f>F60*L$20/E$94</f>
        <v>#REF!</v>
      </c>
      <c r="M60" s="61">
        <v>3.7</v>
      </c>
    </row>
    <row r="61" spans="2:13" ht="20" customHeight="1" x14ac:dyDescent="0.35">
      <c r="B61" s="62">
        <v>104</v>
      </c>
      <c r="C61" s="63">
        <v>104</v>
      </c>
      <c r="D61" s="115" t="s">
        <v>51</v>
      </c>
      <c r="E61" s="65">
        <v>7.5</v>
      </c>
      <c r="F61" s="55">
        <f>M61*M$20/M$83</f>
        <v>3.617143221040565</v>
      </c>
      <c r="G61" s="56" t="e">
        <f>L61</f>
        <v>#REF!</v>
      </c>
      <c r="H61" s="71">
        <v>3.1875749999999998</v>
      </c>
      <c r="I61" s="66">
        <v>22</v>
      </c>
      <c r="J61" s="139">
        <v>7</v>
      </c>
      <c r="K61" s="118"/>
      <c r="L61" s="60" t="e">
        <f>F61*L$20/E$94</f>
        <v>#REF!</v>
      </c>
      <c r="M61" s="61">
        <v>10</v>
      </c>
    </row>
    <row r="62" spans="2:13" ht="19" thickBot="1" x14ac:dyDescent="0.4">
      <c r="B62" s="129"/>
      <c r="C62" s="130"/>
      <c r="D62" s="250"/>
      <c r="E62" s="149"/>
      <c r="F62" s="239"/>
      <c r="G62" s="257" t="e">
        <f>SUM(G60:G61)</f>
        <v>#REF!</v>
      </c>
      <c r="H62" s="257">
        <f>SUM(H60:H61)</f>
        <v>4.1993835399999995</v>
      </c>
      <c r="I62" s="143"/>
      <c r="J62" s="242"/>
      <c r="K62" s="248"/>
      <c r="L62" s="60"/>
      <c r="M62" s="61"/>
    </row>
    <row r="63" spans="2:13" ht="19" thickBot="1" x14ac:dyDescent="0.4">
      <c r="B63" s="106"/>
      <c r="C63" s="240"/>
      <c r="D63" s="241"/>
      <c r="E63" s="276"/>
      <c r="F63" s="235"/>
      <c r="G63" s="235"/>
      <c r="H63" s="272"/>
      <c r="I63" s="230"/>
      <c r="J63" s="244"/>
      <c r="K63" s="246"/>
      <c r="L63" s="60"/>
      <c r="M63" s="61"/>
    </row>
    <row r="64" spans="2:13" ht="42.75" customHeight="1" thickBot="1" x14ac:dyDescent="0.5">
      <c r="B64" s="13" t="s">
        <v>14</v>
      </c>
      <c r="C64" s="30"/>
      <c r="D64" s="31"/>
      <c r="E64" s="26">
        <f>SUM(E65:E70)</f>
        <v>204</v>
      </c>
      <c r="F64" s="26">
        <f>SUM(F65:F70)</f>
        <v>96.130229892377258</v>
      </c>
      <c r="G64" s="26" t="e">
        <f>SUM(G65:G70)</f>
        <v>#REF!</v>
      </c>
      <c r="H64" s="26">
        <f>SUM(H65:H70)</f>
        <v>80.387999999999991</v>
      </c>
      <c r="I64" s="234"/>
      <c r="J64" s="34"/>
      <c r="K64" s="21" t="s">
        <v>52</v>
      </c>
      <c r="L64" s="60"/>
      <c r="M64" s="131"/>
    </row>
    <row r="65" spans="2:13" ht="18.649999999999999" customHeight="1" x14ac:dyDescent="0.35">
      <c r="B65" s="51">
        <v>105</v>
      </c>
      <c r="C65" s="132">
        <v>1</v>
      </c>
      <c r="D65" s="133" t="s">
        <v>53</v>
      </c>
      <c r="E65" s="134">
        <v>120</v>
      </c>
      <c r="F65" s="55">
        <v>50</v>
      </c>
      <c r="G65" s="273">
        <f t="shared" si="0"/>
        <v>50</v>
      </c>
      <c r="H65" s="135">
        <v>37.488</v>
      </c>
      <c r="I65" s="57">
        <v>28</v>
      </c>
      <c r="J65" s="136">
        <v>26</v>
      </c>
      <c r="K65" s="180" t="s">
        <v>86</v>
      </c>
      <c r="L65" s="60">
        <v>50</v>
      </c>
      <c r="M65" s="61">
        <v>0</v>
      </c>
    </row>
    <row r="66" spans="2:13" ht="18" customHeight="1" x14ac:dyDescent="0.35">
      <c r="B66" s="62">
        <f>B65+1</f>
        <v>106</v>
      </c>
      <c r="C66" s="76">
        <f>C65+1</f>
        <v>2</v>
      </c>
      <c r="D66" s="137" t="s">
        <v>54</v>
      </c>
      <c r="E66" s="138">
        <v>6</v>
      </c>
      <c r="F66" s="55">
        <f>M66*M$20/M$83</f>
        <v>0.28937145768324524</v>
      </c>
      <c r="G66" s="273" t="e">
        <f t="shared" si="0"/>
        <v>#REF!</v>
      </c>
      <c r="H66" s="71">
        <v>0.24199999999999999</v>
      </c>
      <c r="I66" s="66">
        <v>28</v>
      </c>
      <c r="J66" s="139">
        <v>27</v>
      </c>
      <c r="K66" s="140" t="s">
        <v>55</v>
      </c>
      <c r="L66" s="60" t="e">
        <f>F66*L$20/E$94</f>
        <v>#REF!</v>
      </c>
      <c r="M66" s="61">
        <v>0.8</v>
      </c>
    </row>
    <row r="67" spans="2:13" ht="15.5" x14ac:dyDescent="0.35">
      <c r="B67" s="62">
        <f t="shared" ref="B67:B70" si="4">B66+1</f>
        <v>107</v>
      </c>
      <c r="C67" s="76">
        <v>3</v>
      </c>
      <c r="D67" s="147" t="s">
        <v>56</v>
      </c>
      <c r="E67" s="138"/>
      <c r="F67" s="55">
        <f>M67*M$20/M$83</f>
        <v>0.90428580526014124</v>
      </c>
      <c r="G67" s="273" t="e">
        <f t="shared" si="0"/>
        <v>#REF!</v>
      </c>
      <c r="H67" s="71">
        <v>1.099</v>
      </c>
      <c r="I67" s="66">
        <v>31</v>
      </c>
      <c r="J67" s="139">
        <v>30</v>
      </c>
      <c r="K67" s="140" t="s">
        <v>55</v>
      </c>
      <c r="L67" s="60" t="e">
        <f>F67*L$20/E$94</f>
        <v>#REF!</v>
      </c>
      <c r="M67" s="61">
        <v>2.5</v>
      </c>
    </row>
    <row r="68" spans="2:13" ht="19.25" customHeight="1" x14ac:dyDescent="0.35">
      <c r="B68" s="62">
        <f t="shared" si="4"/>
        <v>108</v>
      </c>
      <c r="C68" s="76">
        <v>4</v>
      </c>
      <c r="D68" s="137" t="s">
        <v>57</v>
      </c>
      <c r="E68" s="138">
        <v>60</v>
      </c>
      <c r="F68" s="55">
        <v>33</v>
      </c>
      <c r="G68" s="273">
        <f t="shared" ref="G68:G82" si="5">L68</f>
        <v>33</v>
      </c>
      <c r="H68" s="71">
        <v>33</v>
      </c>
      <c r="I68" s="66">
        <v>28</v>
      </c>
      <c r="J68" s="139">
        <v>22.5</v>
      </c>
      <c r="K68" s="224" t="s">
        <v>55</v>
      </c>
      <c r="L68" s="60">
        <v>33</v>
      </c>
      <c r="M68" s="61">
        <v>0</v>
      </c>
    </row>
    <row r="69" spans="2:13" ht="15.5" x14ac:dyDescent="0.35">
      <c r="B69" s="62">
        <f t="shared" si="4"/>
        <v>109</v>
      </c>
      <c r="C69" s="76">
        <v>5</v>
      </c>
      <c r="D69" s="141" t="s">
        <v>58</v>
      </c>
      <c r="E69" s="138">
        <v>6</v>
      </c>
      <c r="F69" s="55">
        <f>M69*M$20/M$83</f>
        <v>4.3405718652486778</v>
      </c>
      <c r="G69" s="273" t="e">
        <f t="shared" si="5"/>
        <v>#REF!</v>
      </c>
      <c r="H69" s="71">
        <v>3.9809999999999999</v>
      </c>
      <c r="I69" s="66">
        <v>31</v>
      </c>
      <c r="J69" s="139">
        <v>3.4</v>
      </c>
      <c r="K69" s="140" t="s">
        <v>55</v>
      </c>
      <c r="L69" s="60" t="e">
        <f>F69*L$20/E$94</f>
        <v>#REF!</v>
      </c>
      <c r="M69" s="61">
        <v>12</v>
      </c>
    </row>
    <row r="70" spans="2:13" ht="16" thickBot="1" x14ac:dyDescent="0.4">
      <c r="B70" s="62">
        <f t="shared" si="4"/>
        <v>110</v>
      </c>
      <c r="C70" s="162">
        <v>6</v>
      </c>
      <c r="D70" s="163" t="s">
        <v>59</v>
      </c>
      <c r="E70" s="164">
        <v>12</v>
      </c>
      <c r="F70" s="55">
        <f>M70*M$20/M$83</f>
        <v>7.5960007641851863</v>
      </c>
      <c r="G70" s="190" t="e">
        <f t="shared" si="5"/>
        <v>#REF!</v>
      </c>
      <c r="H70" s="165">
        <v>4.5780000000000003</v>
      </c>
      <c r="I70" s="87">
        <v>29</v>
      </c>
      <c r="J70" s="155">
        <v>4.5</v>
      </c>
      <c r="K70" s="223" t="s">
        <v>55</v>
      </c>
      <c r="L70" s="60" t="e">
        <f>F70*L$20/E$94</f>
        <v>#REF!</v>
      </c>
      <c r="M70" s="61">
        <v>21</v>
      </c>
    </row>
    <row r="71" spans="2:13" ht="49.25" customHeight="1" thickBot="1" x14ac:dyDescent="0.5">
      <c r="B71" s="13" t="s">
        <v>15</v>
      </c>
      <c r="C71" s="30"/>
      <c r="D71" s="31"/>
      <c r="E71" s="16">
        <f>SUM(E72:E76)</f>
        <v>23.2</v>
      </c>
      <c r="F71" s="16">
        <f>SUM(F72:F76)</f>
        <v>10.851429663121696</v>
      </c>
      <c r="G71" s="32" t="e">
        <f>SUM(G72:G76)</f>
        <v>#REF!</v>
      </c>
      <c r="H71" s="32">
        <f>SUM(H72:H76)</f>
        <v>6.2270000000000003</v>
      </c>
      <c r="I71" s="33"/>
      <c r="J71" s="34"/>
      <c r="K71" s="35" t="s">
        <v>84</v>
      </c>
      <c r="L71" s="60"/>
      <c r="M71" s="131"/>
    </row>
    <row r="72" spans="2:13" ht="15.5" x14ac:dyDescent="0.35">
      <c r="B72" s="51">
        <v>111</v>
      </c>
      <c r="C72" s="52">
        <v>1</v>
      </c>
      <c r="D72" s="144" t="s">
        <v>60</v>
      </c>
      <c r="E72" s="54">
        <v>9.6</v>
      </c>
      <c r="F72" s="55">
        <f>M72*M$20/M$83</f>
        <v>1.8085716105202825</v>
      </c>
      <c r="G72" s="56" t="e">
        <f t="shared" si="5"/>
        <v>#REF!</v>
      </c>
      <c r="H72" s="135">
        <v>2.8250000000000002</v>
      </c>
      <c r="I72" s="57">
        <v>46</v>
      </c>
      <c r="J72" s="58">
        <v>4.3</v>
      </c>
      <c r="K72" s="145" t="s">
        <v>55</v>
      </c>
      <c r="L72" s="60" t="e">
        <f>F72*L$20/E$94</f>
        <v>#REF!</v>
      </c>
      <c r="M72" s="61">
        <v>5</v>
      </c>
    </row>
    <row r="73" spans="2:13" ht="15.5" x14ac:dyDescent="0.35">
      <c r="B73" s="62">
        <f>B72+1</f>
        <v>112</v>
      </c>
      <c r="C73" s="63">
        <f>C72+1</f>
        <v>2</v>
      </c>
      <c r="D73" s="137" t="s">
        <v>61</v>
      </c>
      <c r="E73" s="65">
        <v>5</v>
      </c>
      <c r="F73" s="55">
        <f>M73*M$20/M$83</f>
        <v>2.5320002547283957</v>
      </c>
      <c r="G73" s="56" t="e">
        <f t="shared" si="5"/>
        <v>#REF!</v>
      </c>
      <c r="H73" s="71">
        <v>0.65800000000000003</v>
      </c>
      <c r="I73" s="66">
        <v>40</v>
      </c>
      <c r="J73" s="67">
        <v>8</v>
      </c>
      <c r="K73" s="146" t="s">
        <v>55</v>
      </c>
      <c r="L73" s="60" t="e">
        <f>F73*L$20/E$94</f>
        <v>#REF!</v>
      </c>
      <c r="M73" s="61">
        <v>7</v>
      </c>
    </row>
    <row r="74" spans="2:13" ht="15.5" x14ac:dyDescent="0.35">
      <c r="B74" s="62">
        <f t="shared" ref="B74:C75" si="6">B73+1</f>
        <v>113</v>
      </c>
      <c r="C74" s="63">
        <f t="shared" si="6"/>
        <v>3</v>
      </c>
      <c r="D74" s="137" t="s">
        <v>62</v>
      </c>
      <c r="E74" s="65">
        <v>5.6</v>
      </c>
      <c r="F74" s="55">
        <f>M74*M$20/M$83</f>
        <v>0.54257148315608472</v>
      </c>
      <c r="G74" s="56" t="e">
        <f t="shared" si="5"/>
        <v>#REF!</v>
      </c>
      <c r="H74" s="71">
        <v>0.57099999999999995</v>
      </c>
      <c r="I74" s="66">
        <v>40</v>
      </c>
      <c r="J74" s="67">
        <v>12</v>
      </c>
      <c r="K74" s="146" t="s">
        <v>55</v>
      </c>
      <c r="L74" s="60" t="e">
        <f>F74*L$20/E$94</f>
        <v>#REF!</v>
      </c>
      <c r="M74" s="61">
        <v>1.5</v>
      </c>
    </row>
    <row r="75" spans="2:13" ht="15.5" x14ac:dyDescent="0.35">
      <c r="B75" s="62">
        <f t="shared" si="6"/>
        <v>114</v>
      </c>
      <c r="C75" s="63">
        <f t="shared" si="6"/>
        <v>4</v>
      </c>
      <c r="D75" s="137" t="s">
        <v>63</v>
      </c>
      <c r="E75" s="65">
        <v>3</v>
      </c>
      <c r="F75" s="55">
        <f>M75*M$20/M$83</f>
        <v>0.54257148315608472</v>
      </c>
      <c r="G75" s="56" t="e">
        <f t="shared" si="5"/>
        <v>#REF!</v>
      </c>
      <c r="H75" s="71">
        <v>0.1</v>
      </c>
      <c r="I75" s="66">
        <v>22</v>
      </c>
      <c r="J75" s="67">
        <v>2.9</v>
      </c>
      <c r="K75" s="146" t="s">
        <v>55</v>
      </c>
      <c r="L75" s="60" t="e">
        <f>F75*L$20/E$94</f>
        <v>#REF!</v>
      </c>
      <c r="M75" s="61">
        <v>1.5</v>
      </c>
    </row>
    <row r="76" spans="2:13" ht="16" thickBot="1" x14ac:dyDescent="0.4">
      <c r="B76" s="62" t="e">
        <f>#REF!+1</f>
        <v>#REF!</v>
      </c>
      <c r="C76" s="85">
        <v>13</v>
      </c>
      <c r="D76" s="148" t="s">
        <v>67</v>
      </c>
      <c r="E76" s="149">
        <v>0</v>
      </c>
      <c r="F76" s="55">
        <f>M76*M$20/M$83</f>
        <v>5.4257148315608479</v>
      </c>
      <c r="G76" s="56" t="e">
        <f t="shared" si="5"/>
        <v>#REF!</v>
      </c>
      <c r="H76" s="150">
        <v>2.073</v>
      </c>
      <c r="I76" s="143">
        <v>49</v>
      </c>
      <c r="J76" s="151">
        <v>21</v>
      </c>
      <c r="K76" s="225" t="s">
        <v>68</v>
      </c>
      <c r="L76" s="60" t="e">
        <f>F76*L$20/E$94</f>
        <v>#REF!</v>
      </c>
      <c r="M76" s="61">
        <v>15</v>
      </c>
    </row>
    <row r="77" spans="2:13" ht="48" customHeight="1" thickBot="1" x14ac:dyDescent="0.5">
      <c r="B77" s="13" t="s">
        <v>16</v>
      </c>
      <c r="C77" s="30"/>
      <c r="D77" s="36"/>
      <c r="E77" s="16">
        <f>E78+E82+E81</f>
        <v>22.4</v>
      </c>
      <c r="F77" s="37">
        <v>3</v>
      </c>
      <c r="G77" s="37">
        <v>3</v>
      </c>
      <c r="H77" s="37">
        <f>SUM(H78:H82)</f>
        <v>0.43168393999999999</v>
      </c>
      <c r="I77" s="33"/>
      <c r="J77" s="34"/>
      <c r="K77" s="38" t="s">
        <v>69</v>
      </c>
      <c r="L77" s="60"/>
      <c r="M77" s="131"/>
    </row>
    <row r="78" spans="2:13" ht="19.5" customHeight="1" x14ac:dyDescent="0.35">
      <c r="B78" s="51">
        <v>124</v>
      </c>
      <c r="C78" s="52">
        <v>1</v>
      </c>
      <c r="D78" s="133" t="s">
        <v>70</v>
      </c>
      <c r="E78" s="286">
        <v>20.399999999999999</v>
      </c>
      <c r="F78" s="152">
        <v>3</v>
      </c>
      <c r="G78" s="56">
        <v>3</v>
      </c>
      <c r="H78" s="135">
        <v>0.43168393999999999</v>
      </c>
      <c r="I78" s="153">
        <v>46</v>
      </c>
      <c r="J78" s="154">
        <v>32.67</v>
      </c>
      <c r="K78" s="176" t="s">
        <v>55</v>
      </c>
      <c r="L78" s="60">
        <v>0</v>
      </c>
      <c r="M78" s="61">
        <v>0</v>
      </c>
    </row>
    <row r="79" spans="2:13" ht="19.5" customHeight="1" x14ac:dyDescent="0.35">
      <c r="B79" s="62">
        <f>B78+1</f>
        <v>125</v>
      </c>
      <c r="C79" s="127">
        <v>2</v>
      </c>
      <c r="D79" s="216" t="s">
        <v>71</v>
      </c>
      <c r="E79" s="287"/>
      <c r="F79" s="122">
        <v>0</v>
      </c>
      <c r="G79" s="220">
        <f>L79</f>
        <v>0</v>
      </c>
      <c r="H79" s="159">
        <v>0</v>
      </c>
      <c r="I79" s="170"/>
      <c r="J79" s="174"/>
      <c r="K79" s="175" t="s">
        <v>64</v>
      </c>
      <c r="L79" s="60"/>
      <c r="M79" s="61"/>
    </row>
    <row r="80" spans="2:13" ht="19.5" customHeight="1" x14ac:dyDescent="0.35">
      <c r="B80" s="62">
        <f t="shared" ref="B80:B82" si="7">B79+1</f>
        <v>126</v>
      </c>
      <c r="C80" s="63">
        <v>3</v>
      </c>
      <c r="D80" s="147" t="s">
        <v>72</v>
      </c>
      <c r="E80" s="285"/>
      <c r="F80" s="55">
        <v>0</v>
      </c>
      <c r="G80" s="181">
        <v>0</v>
      </c>
      <c r="H80" s="71">
        <v>0</v>
      </c>
      <c r="I80" s="217"/>
      <c r="J80" s="221"/>
      <c r="K80" s="218" t="s">
        <v>73</v>
      </c>
      <c r="L80" s="60"/>
      <c r="M80" s="61"/>
    </row>
    <row r="81" spans="2:13" ht="19.5" customHeight="1" x14ac:dyDescent="0.35">
      <c r="B81" s="96">
        <f t="shared" si="7"/>
        <v>127</v>
      </c>
      <c r="C81" s="85">
        <v>4</v>
      </c>
      <c r="D81" s="253" t="s">
        <v>74</v>
      </c>
      <c r="E81" s="277">
        <v>1</v>
      </c>
      <c r="F81" s="78" t="e">
        <f>M81*L20/M83</f>
        <v>#REF!</v>
      </c>
      <c r="G81" s="56" t="e">
        <f>L81</f>
        <v>#REF!</v>
      </c>
      <c r="H81" s="165">
        <v>0</v>
      </c>
      <c r="I81" s="254">
        <f>I78</f>
        <v>46</v>
      </c>
      <c r="J81" s="222">
        <v>0</v>
      </c>
      <c r="K81" s="255" t="s">
        <v>27</v>
      </c>
      <c r="L81" s="60" t="e">
        <f>F81*L$20/E$94</f>
        <v>#REF!</v>
      </c>
      <c r="M81" s="61">
        <v>1.5</v>
      </c>
    </row>
    <row r="82" spans="2:13" ht="16" thickBot="1" x14ac:dyDescent="0.4">
      <c r="B82" s="126">
        <f t="shared" si="7"/>
        <v>128</v>
      </c>
      <c r="C82" s="130">
        <v>5</v>
      </c>
      <c r="D82" s="219" t="s">
        <v>75</v>
      </c>
      <c r="E82" s="149">
        <v>1</v>
      </c>
      <c r="F82" s="78" t="e">
        <f>M82*L20/M83</f>
        <v>#REF!</v>
      </c>
      <c r="G82" s="56" t="e">
        <f t="shared" si="5"/>
        <v>#REF!</v>
      </c>
      <c r="H82" s="150">
        <v>0</v>
      </c>
      <c r="I82" s="87"/>
      <c r="J82" s="222"/>
      <c r="K82" s="156" t="s">
        <v>76</v>
      </c>
      <c r="L82" s="60" t="e">
        <f>F82*L$20/E$94</f>
        <v>#REF!</v>
      </c>
      <c r="M82" s="61">
        <v>0.5</v>
      </c>
    </row>
    <row r="83" spans="2:13" ht="19" thickBot="1" x14ac:dyDescent="0.4">
      <c r="B83" s="288" t="s">
        <v>17</v>
      </c>
      <c r="C83" s="289"/>
      <c r="D83" s="290"/>
      <c r="E83" s="39">
        <f>SUM(E26:E58)+SUM(E65:E70)+SUM(E72:E76)+SUM(E78:E82)</f>
        <v>684.87</v>
      </c>
      <c r="F83" s="40" t="e">
        <f>SUM(F26:F50)+SUM(F54:F57)+SUM(F65:F70)+SUM(F72:F76)+SUM(F78:F82)</f>
        <v>#REF!</v>
      </c>
      <c r="G83" s="40" t="e">
        <f>SUM(G25,G64,G71,G77)</f>
        <v>#REF!</v>
      </c>
      <c r="H83" s="39">
        <f>H25+H64+H71+H77</f>
        <v>274.26798872999996</v>
      </c>
      <c r="I83" s="291"/>
      <c r="J83" s="292"/>
      <c r="K83" s="187">
        <f>H11-G11</f>
        <v>-82.282011270000055</v>
      </c>
      <c r="L83" s="60"/>
      <c r="M83" s="131">
        <f>SUM(M26:M82)</f>
        <v>785.15000000000009</v>
      </c>
    </row>
    <row r="84" spans="2:13" ht="19" thickBot="1" x14ac:dyDescent="0.5">
      <c r="B84" s="1"/>
      <c r="C84" s="1"/>
      <c r="D84" s="41"/>
      <c r="E84" s="178"/>
      <c r="F84" s="42"/>
      <c r="G84" s="42"/>
      <c r="H84" s="169"/>
      <c r="I84" s="43"/>
      <c r="J84" s="43"/>
      <c r="K84" s="1"/>
      <c r="L84" s="60"/>
    </row>
    <row r="85" spans="2:13" ht="23.25" customHeight="1" thickBot="1" x14ac:dyDescent="0.4">
      <c r="B85" s="278" t="s">
        <v>18</v>
      </c>
      <c r="C85" s="279"/>
      <c r="D85" s="280"/>
      <c r="E85" s="193">
        <f>SUM(E86:E90)</f>
        <v>312</v>
      </c>
      <c r="F85" s="193">
        <f>SUM(F86:F90)</f>
        <v>103.51373756000001</v>
      </c>
      <c r="G85" s="193">
        <f t="shared" ref="G85:H85" si="8">SUM(G86:G90)</f>
        <v>93.51373756000001</v>
      </c>
      <c r="H85" s="193">
        <f t="shared" si="8"/>
        <v>48.828901770000002</v>
      </c>
      <c r="I85" s="194"/>
      <c r="J85" s="195"/>
      <c r="K85" s="196" t="s">
        <v>77</v>
      </c>
      <c r="L85" s="60"/>
    </row>
    <row r="86" spans="2:13" ht="15.5" x14ac:dyDescent="0.35">
      <c r="B86" s="51">
        <v>129</v>
      </c>
      <c r="C86" s="200">
        <v>1</v>
      </c>
      <c r="D86" s="201" t="s">
        <v>78</v>
      </c>
      <c r="E86" s="157">
        <v>5</v>
      </c>
      <c r="F86" s="158">
        <v>4.4107375600000003</v>
      </c>
      <c r="G86" s="158">
        <v>4.4107375600000003</v>
      </c>
      <c r="H86" s="135">
        <v>12.108000000000001</v>
      </c>
      <c r="I86" s="153">
        <v>41.1</v>
      </c>
      <c r="J86" s="153">
        <f>I86</f>
        <v>41.1</v>
      </c>
      <c r="K86" s="202" t="s">
        <v>55</v>
      </c>
      <c r="L86" s="60"/>
    </row>
    <row r="87" spans="2:13" ht="15.5" x14ac:dyDescent="0.35">
      <c r="B87" s="62">
        <f>B86+1</f>
        <v>130</v>
      </c>
      <c r="C87" s="197">
        <v>2</v>
      </c>
      <c r="D87" s="198" t="s">
        <v>79</v>
      </c>
      <c r="E87" s="160">
        <v>100</v>
      </c>
      <c r="F87" s="161">
        <v>57.103000000000002</v>
      </c>
      <c r="G87" s="161">
        <v>57.103000000000002</v>
      </c>
      <c r="H87" s="71">
        <v>10.44990177</v>
      </c>
      <c r="I87" s="66"/>
      <c r="J87" s="66"/>
      <c r="K87" s="203" t="s">
        <v>55</v>
      </c>
      <c r="L87" s="60"/>
    </row>
    <row r="88" spans="2:13" ht="15.5" x14ac:dyDescent="0.35">
      <c r="B88" s="62">
        <f t="shared" ref="B88:B90" si="9">B87+1</f>
        <v>131</v>
      </c>
      <c r="C88" s="197">
        <v>3</v>
      </c>
      <c r="D88" s="199" t="s">
        <v>80</v>
      </c>
      <c r="E88" s="70">
        <v>27</v>
      </c>
      <c r="F88" s="70">
        <v>12</v>
      </c>
      <c r="G88" s="70">
        <v>12</v>
      </c>
      <c r="H88" s="71">
        <v>12</v>
      </c>
      <c r="I88" s="66" t="e">
        <f>#REF!</f>
        <v>#REF!</v>
      </c>
      <c r="J88" s="66" t="e">
        <f>#REF!</f>
        <v>#REF!</v>
      </c>
      <c r="K88" s="204" t="s">
        <v>55</v>
      </c>
      <c r="L88" s="60"/>
    </row>
    <row r="89" spans="2:13" ht="15.5" x14ac:dyDescent="0.35">
      <c r="B89" s="62">
        <f t="shared" si="9"/>
        <v>132</v>
      </c>
      <c r="C89" s="197">
        <v>4</v>
      </c>
      <c r="D89" s="199" t="s">
        <v>81</v>
      </c>
      <c r="E89" s="70">
        <v>60</v>
      </c>
      <c r="F89" s="70">
        <v>30</v>
      </c>
      <c r="G89" s="70">
        <v>20</v>
      </c>
      <c r="H89" s="71">
        <v>14.271000000000001</v>
      </c>
      <c r="I89" s="66">
        <f>I68</f>
        <v>28</v>
      </c>
      <c r="J89" s="66">
        <f>J68</f>
        <v>22.5</v>
      </c>
      <c r="K89" s="204" t="s">
        <v>55</v>
      </c>
      <c r="L89" s="60"/>
    </row>
    <row r="90" spans="2:13" ht="16" thickBot="1" x14ac:dyDescent="0.4">
      <c r="B90" s="62">
        <f t="shared" si="9"/>
        <v>133</v>
      </c>
      <c r="C90" s="205">
        <v>5</v>
      </c>
      <c r="D90" s="206" t="s">
        <v>82</v>
      </c>
      <c r="E90" s="142">
        <v>120</v>
      </c>
      <c r="F90" s="142">
        <v>0</v>
      </c>
      <c r="G90" s="142">
        <f>F90</f>
        <v>0</v>
      </c>
      <c r="H90" s="150">
        <v>0</v>
      </c>
      <c r="I90" s="143">
        <f>I65</f>
        <v>28</v>
      </c>
      <c r="J90" s="143">
        <f>J65</f>
        <v>26</v>
      </c>
      <c r="K90" s="207" t="s">
        <v>55</v>
      </c>
      <c r="L90" s="60"/>
    </row>
    <row r="91" spans="2:13" ht="15" thickBot="1" x14ac:dyDescent="0.4">
      <c r="B91" s="1"/>
      <c r="C91" s="1"/>
      <c r="D91" s="43"/>
      <c r="E91" s="178"/>
      <c r="F91" s="46"/>
      <c r="G91" s="46"/>
      <c r="I91" s="1"/>
      <c r="J91" s="1"/>
      <c r="K91" s="47"/>
      <c r="L91" s="7"/>
    </row>
    <row r="92" spans="2:13" ht="21.5" thickBot="1" x14ac:dyDescent="0.4">
      <c r="B92" s="281" t="s">
        <v>19</v>
      </c>
      <c r="C92" s="282"/>
      <c r="D92" s="282"/>
      <c r="E92" s="48"/>
      <c r="F92" s="49"/>
      <c r="G92" s="49"/>
      <c r="H92" s="50">
        <f>H87+H28</f>
        <v>20.44990177</v>
      </c>
      <c r="I92" s="1"/>
      <c r="J92" s="1"/>
      <c r="K92" s="1"/>
      <c r="L92" s="7"/>
    </row>
    <row r="93" spans="2:13" x14ac:dyDescent="0.35">
      <c r="L93" s="7"/>
    </row>
    <row r="94" spans="2:13" ht="15" hidden="1" customHeight="1" x14ac:dyDescent="0.35">
      <c r="D94" t="s">
        <v>83</v>
      </c>
      <c r="E94" s="166">
        <f>G20-G28-G65-G68</f>
        <v>284</v>
      </c>
      <c r="G94" s="167" t="e">
        <f>F83-(F78+#REF!+F28+F65+F68+#REF!)</f>
        <v>#REF!</v>
      </c>
      <c r="L94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5:D85"/>
    <mergeCell ref="B92:D92"/>
    <mergeCell ref="K23:K24"/>
    <mergeCell ref="E78:E80"/>
    <mergeCell ref="B83:D83"/>
    <mergeCell ref="I83:J8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94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355.47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444.77</v>
      </c>
      <c r="F7" s="17">
        <f>F25</f>
        <v>262.72744061644266</v>
      </c>
      <c r="G7" s="18" t="e">
        <f>G25</f>
        <v>#REF!</v>
      </c>
      <c r="H7" s="259">
        <f>H25</f>
        <v>184.92656524999998</v>
      </c>
      <c r="I7" s="19"/>
      <c r="J7" s="20"/>
      <c r="K7" s="21" t="str">
        <f>K25</f>
        <v>93 Stations on stream, 4 on shutdown, 7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E64</f>
        <v>204</v>
      </c>
      <c r="F8" s="25">
        <f>F64</f>
        <v>95.806597465452455</v>
      </c>
      <c r="G8" s="26" t="e">
        <f>G64</f>
        <v>#REF!</v>
      </c>
      <c r="H8" s="260">
        <f>H64</f>
        <v>81.593000000000018</v>
      </c>
      <c r="I8" s="27"/>
      <c r="J8" s="28"/>
      <c r="K8" s="29" t="str">
        <f>K64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E71</f>
        <v>23.2</v>
      </c>
      <c r="F9" s="16">
        <f>F71</f>
        <v>10.583964847481372</v>
      </c>
      <c r="G9" s="32" t="e">
        <f>G71</f>
        <v>#REF!</v>
      </c>
      <c r="H9" s="261">
        <f>H71</f>
        <v>6.6120000000000001</v>
      </c>
      <c r="I9" s="33"/>
      <c r="J9" s="34"/>
      <c r="K9" s="35" t="str">
        <f>K71</f>
        <v>10 Stations on stream, Yongxing Power,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E77</f>
        <v>22.4</v>
      </c>
      <c r="F10" s="37">
        <f>F77</f>
        <v>3</v>
      </c>
      <c r="G10" s="37">
        <f>G77</f>
        <v>3</v>
      </c>
      <c r="H10" s="262">
        <f>H77</f>
        <v>1.0068676000000001</v>
      </c>
      <c r="I10" s="33"/>
      <c r="J10" s="34"/>
      <c r="K10" s="38" t="str">
        <f>K77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694.37</v>
      </c>
      <c r="F11" s="40">
        <f>G20+F10</f>
        <v>373</v>
      </c>
      <c r="G11" s="40">
        <f>E20+G10</f>
        <v>355.47</v>
      </c>
      <c r="H11" s="188">
        <f>SUM(H7:H10)</f>
        <v>274.13843285000007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94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E85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H85</f>
        <v>47.620589569999993</v>
      </c>
      <c r="I14" s="44"/>
      <c r="J14" s="45"/>
      <c r="K14" s="21" t="str">
        <f>K85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H92</f>
        <v>21.75158957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352.47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E20-F28-F65-F68-#REF!</f>
        <v>#REF!</v>
      </c>
      <c r="M20" s="7">
        <f>G20-F28-F65-F68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SUM(E26:E61)</f>
        <v>444.77</v>
      </c>
      <c r="F25" s="17">
        <f>SUM(F26:F61)</f>
        <v>262.72744061644266</v>
      </c>
      <c r="G25" s="18" t="e">
        <f>G33+G42+G51+G58+G62</f>
        <v>#REF!</v>
      </c>
      <c r="H25" s="18">
        <f>SUM(H26:H31)+SUM(H36:H40)+SUM(H44:H50)+SUM(H54:H57)+SUM(H60:H61)</f>
        <v>184.92656524999998</v>
      </c>
      <c r="I25" s="19"/>
      <c r="J25" s="20"/>
      <c r="K25" s="21" t="s">
        <v>90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M26*M$20/M$83</f>
        <v>80.43813284085843</v>
      </c>
      <c r="G26" s="56" t="e">
        <f>L26</f>
        <v>#REF!</v>
      </c>
      <c r="H26" s="263">
        <v>54.51</v>
      </c>
      <c r="I26" s="57">
        <v>18.3</v>
      </c>
      <c r="J26" s="58">
        <v>14.5</v>
      </c>
      <c r="K26" s="59"/>
      <c r="L26" s="60" t="e">
        <f>F26*L$20/E$94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M27*M$20/M$83</f>
        <v>15.1703496147233</v>
      </c>
      <c r="G27" s="56" t="e">
        <f t="shared" ref="G27:G67" si="0">L27</f>
        <v>#REF!</v>
      </c>
      <c r="H27" s="263">
        <v>13.30838835</v>
      </c>
      <c r="I27" s="66">
        <v>22.4</v>
      </c>
      <c r="J27" s="67">
        <v>9.8000000000000007</v>
      </c>
      <c r="K27" s="68"/>
      <c r="L27" s="60" t="e">
        <f>F27*L$20/E$94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M29*M$20/M$83</f>
        <v>0.42335859389925484</v>
      </c>
      <c r="G29" s="56" t="e">
        <f t="shared" si="0"/>
        <v>#REF!</v>
      </c>
      <c r="H29" s="263">
        <v>7.0040000000000005E-2</v>
      </c>
      <c r="I29" s="66">
        <v>24</v>
      </c>
      <c r="J29" s="67">
        <v>19.8</v>
      </c>
      <c r="K29" s="75"/>
      <c r="L29" s="60" t="e">
        <f>F29*L$20/E$94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M30*M$20/M$83</f>
        <v>40.571865248678591</v>
      </c>
      <c r="G30" s="56" t="e">
        <f>L30</f>
        <v>#REF!</v>
      </c>
      <c r="H30" s="263">
        <v>30.55276533</v>
      </c>
      <c r="I30" s="66">
        <v>21</v>
      </c>
      <c r="J30" s="67">
        <v>14.2</v>
      </c>
      <c r="K30" s="68"/>
      <c r="L30" s="60" t="e">
        <f>F30*L$20/E$94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M31*M$20/M$83</f>
        <v>98.78367190982614</v>
      </c>
      <c r="G31" s="56" t="e">
        <f t="shared" si="0"/>
        <v>#REF!</v>
      </c>
      <c r="H31" s="263">
        <v>63.445</v>
      </c>
      <c r="I31" s="66">
        <v>17.8</v>
      </c>
      <c r="J31" s="67" t="s">
        <v>92</v>
      </c>
      <c r="K31" s="68"/>
      <c r="L31" s="60" t="e">
        <f>F31*L$20/E$94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171.88619367999999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M36*M$20/M$83</f>
        <v>1.7639941412468954</v>
      </c>
      <c r="G36" s="56" t="e">
        <f t="shared" si="0"/>
        <v>#REF!</v>
      </c>
      <c r="H36" s="263">
        <v>1.4270923099999999</v>
      </c>
      <c r="I36" s="99">
        <v>23</v>
      </c>
      <c r="J36" s="100">
        <v>23</v>
      </c>
      <c r="K36" s="75"/>
      <c r="L36" s="60" t="e">
        <f>F36*L$20/E$94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M37*M$20/M$83</f>
        <v>0.2469591797745653</v>
      </c>
      <c r="G37" s="56" t="e">
        <f t="shared" si="0"/>
        <v>#REF!</v>
      </c>
      <c r="H37" s="263">
        <v>0.18109220000000001</v>
      </c>
      <c r="I37" s="66">
        <v>22</v>
      </c>
      <c r="J37" s="67">
        <v>3.5</v>
      </c>
      <c r="K37" s="75"/>
      <c r="L37" s="60" t="e">
        <f>F37*L$20/E$94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M38*M$20/M$83</f>
        <v>0.2469591797745653</v>
      </c>
      <c r="G38" s="56" t="e">
        <f t="shared" si="0"/>
        <v>#REF!</v>
      </c>
      <c r="H38" s="263">
        <v>2.7914390000000001E-2</v>
      </c>
      <c r="I38" s="66">
        <v>22</v>
      </c>
      <c r="J38" s="67">
        <v>3</v>
      </c>
      <c r="K38" s="75"/>
      <c r="L38" s="60" t="e">
        <f>F38*L$20/E$94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M39*M$20/M$83</f>
        <v>0.35279882824937908</v>
      </c>
      <c r="G39" s="56" t="e">
        <f t="shared" si="0"/>
        <v>#REF!</v>
      </c>
      <c r="H39" s="264">
        <v>0.27048870000000003</v>
      </c>
      <c r="I39" s="66">
        <v>22</v>
      </c>
      <c r="J39" s="67">
        <v>3.8</v>
      </c>
      <c r="K39" s="75"/>
      <c r="L39" s="60" t="e">
        <f>F39*L$20/E$94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M40*M$20/M$83</f>
        <v>0.17639941412468954</v>
      </c>
      <c r="G40" s="56" t="e">
        <f t="shared" si="0"/>
        <v>#REF!</v>
      </c>
      <c r="H40" s="263">
        <v>8.2489320000000005E-2</v>
      </c>
      <c r="I40" s="66">
        <v>23</v>
      </c>
      <c r="J40" s="67">
        <v>3.5</v>
      </c>
      <c r="K40" s="75"/>
      <c r="L40" s="60" t="e">
        <f>F40*L$20/E$94</f>
        <v>#REF!</v>
      </c>
      <c r="M40" s="61">
        <v>0.5</v>
      </c>
    </row>
    <row r="41" spans="2:13" ht="15.5" x14ac:dyDescent="0.35">
      <c r="B41" s="62"/>
      <c r="C41" s="85"/>
      <c r="D41" s="104"/>
      <c r="E41" s="105"/>
      <c r="F41" s="55"/>
      <c r="G41" s="79"/>
      <c r="H41" s="165"/>
      <c r="I41" s="87"/>
      <c r="J41" s="102"/>
      <c r="K41" s="74"/>
      <c r="L41" s="60"/>
      <c r="M41" s="80"/>
    </row>
    <row r="42" spans="2:13" ht="19" thickBot="1" x14ac:dyDescent="0.4">
      <c r="B42" s="84"/>
      <c r="C42" s="85"/>
      <c r="D42" s="103"/>
      <c r="E42" s="101"/>
      <c r="F42" s="78"/>
      <c r="G42" s="173" t="e">
        <f>SUM(G36:G40)</f>
        <v>#REF!</v>
      </c>
      <c r="H42" s="173">
        <f>SUM(H36:H40)</f>
        <v>1.98907692</v>
      </c>
      <c r="I42" s="87"/>
      <c r="J42" s="102"/>
      <c r="K42" s="75"/>
      <c r="L42" s="60"/>
      <c r="M42" s="61"/>
    </row>
    <row r="43" spans="2:13" ht="20.25" customHeight="1" thickBot="1" x14ac:dyDescent="0.4">
      <c r="B43" s="106"/>
      <c r="C43" s="107"/>
      <c r="D43" s="91" t="s">
        <v>36</v>
      </c>
      <c r="E43" s="108"/>
      <c r="F43" s="185"/>
      <c r="G43" s="93"/>
      <c r="H43" s="268"/>
      <c r="I43" s="94"/>
      <c r="J43" s="109"/>
      <c r="K43" s="75"/>
      <c r="L43" s="60"/>
      <c r="M43" s="61"/>
    </row>
    <row r="44" spans="2:13" ht="21.75" customHeight="1" x14ac:dyDescent="0.35">
      <c r="B44" s="51">
        <v>86</v>
      </c>
      <c r="C44" s="110">
        <v>86</v>
      </c>
      <c r="D44" s="111" t="s">
        <v>37</v>
      </c>
      <c r="E44" s="275">
        <v>1.5</v>
      </c>
      <c r="F44" s="184">
        <f>M44*M$20/M$83</f>
        <v>0.88199707062344768</v>
      </c>
      <c r="G44" s="56" t="e">
        <f t="shared" si="0"/>
        <v>#REF!</v>
      </c>
      <c r="H44" s="269">
        <v>0.83439675999999996</v>
      </c>
      <c r="I44" s="99">
        <v>16.5</v>
      </c>
      <c r="J44" s="100">
        <v>3.8</v>
      </c>
      <c r="K44" s="177"/>
      <c r="L44" s="60" t="e">
        <f>F44*L$20/E$94</f>
        <v>#REF!</v>
      </c>
      <c r="M44" s="61">
        <v>2.5</v>
      </c>
    </row>
    <row r="45" spans="2:13" ht="15.5" x14ac:dyDescent="0.35">
      <c r="B45" s="62">
        <f>B44+1</f>
        <v>87</v>
      </c>
      <c r="C45" s="112">
        <f>C44+1</f>
        <v>87</v>
      </c>
      <c r="D45" s="113" t="s">
        <v>38</v>
      </c>
      <c r="E45" s="274">
        <v>1.5</v>
      </c>
      <c r="F45" s="55">
        <f>M45*M$20/M$83</f>
        <v>1.4111953129975163</v>
      </c>
      <c r="G45" s="56" t="e">
        <f t="shared" si="0"/>
        <v>#REF!</v>
      </c>
      <c r="H45" s="265">
        <v>1.0455721200000001</v>
      </c>
      <c r="I45" s="87">
        <v>16.5</v>
      </c>
      <c r="J45" s="88">
        <v>4.3</v>
      </c>
      <c r="K45" s="75"/>
      <c r="L45" s="60" t="e">
        <f>F45*L$20/E$94</f>
        <v>#REF!</v>
      </c>
      <c r="M45" s="61">
        <v>4</v>
      </c>
    </row>
    <row r="46" spans="2:13" ht="18.75" customHeight="1" x14ac:dyDescent="0.35">
      <c r="B46" s="62">
        <f t="shared" ref="B46:C50" si="3">B45+1</f>
        <v>88</v>
      </c>
      <c r="C46" s="112">
        <f t="shared" si="3"/>
        <v>88</v>
      </c>
      <c r="D46" s="114" t="s">
        <v>39</v>
      </c>
      <c r="E46" s="101">
        <v>1.5</v>
      </c>
      <c r="F46" s="55">
        <f>M46*M$20/M$83</f>
        <v>1.0583964847481371</v>
      </c>
      <c r="G46" s="56" t="e">
        <f t="shared" si="0"/>
        <v>#REF!</v>
      </c>
      <c r="H46" s="265">
        <v>0.57378010999999995</v>
      </c>
      <c r="I46" s="87">
        <v>13</v>
      </c>
      <c r="J46" s="102">
        <v>4.0999999999999996</v>
      </c>
      <c r="K46" s="75"/>
      <c r="L46" s="60" t="e">
        <f>F46*L$20/E$94</f>
        <v>#REF!</v>
      </c>
      <c r="M46" s="61">
        <v>3</v>
      </c>
    </row>
    <row r="47" spans="2:13" ht="15.5" x14ac:dyDescent="0.35">
      <c r="B47" s="62">
        <f t="shared" si="3"/>
        <v>89</v>
      </c>
      <c r="C47" s="112">
        <f t="shared" si="3"/>
        <v>89</v>
      </c>
      <c r="D47" s="115" t="s">
        <v>40</v>
      </c>
      <c r="E47" s="65">
        <v>1.27</v>
      </c>
      <c r="F47" s="55">
        <f>M47*M$20/M$83</f>
        <v>0.31751894542444115</v>
      </c>
      <c r="G47" s="56" t="e">
        <f t="shared" si="0"/>
        <v>#REF!</v>
      </c>
      <c r="H47" s="263">
        <v>0.22056249999999999</v>
      </c>
      <c r="I47" s="66">
        <v>16.2</v>
      </c>
      <c r="J47" s="67">
        <v>3.9</v>
      </c>
      <c r="K47" s="75"/>
      <c r="L47" s="60" t="e">
        <f>F47*L$20/E$94</f>
        <v>#REF!</v>
      </c>
      <c r="M47" s="61">
        <v>0.9</v>
      </c>
    </row>
    <row r="48" spans="2:13" ht="15" customHeight="1" x14ac:dyDescent="0.35">
      <c r="B48" s="62">
        <f t="shared" si="3"/>
        <v>90</v>
      </c>
      <c r="C48" s="112">
        <f t="shared" si="3"/>
        <v>90</v>
      </c>
      <c r="D48" s="115" t="s">
        <v>41</v>
      </c>
      <c r="E48" s="65">
        <v>8.5</v>
      </c>
      <c r="F48" s="55">
        <f>M48*M$20/M$83</f>
        <v>2.2931923836209638</v>
      </c>
      <c r="G48" s="181" t="e">
        <f t="shared" si="0"/>
        <v>#REF!</v>
      </c>
      <c r="H48" s="263">
        <v>2.57048831</v>
      </c>
      <c r="I48" s="66">
        <v>14</v>
      </c>
      <c r="J48" s="67">
        <v>4.3</v>
      </c>
      <c r="K48" s="75"/>
      <c r="L48" s="60" t="e">
        <f>F48*L$20/E$94</f>
        <v>#REF!</v>
      </c>
      <c r="M48" s="61">
        <v>6.5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43</v>
      </c>
      <c r="E49" s="275">
        <v>1</v>
      </c>
      <c r="F49" s="184">
        <f>M49*M$20/M$83</f>
        <v>5.2919824237406855E-2</v>
      </c>
      <c r="G49" s="56" t="e">
        <f t="shared" si="0"/>
        <v>#REF!</v>
      </c>
      <c r="H49" s="71">
        <v>0</v>
      </c>
      <c r="I49" s="66">
        <v>20</v>
      </c>
      <c r="J49" s="67">
        <v>0</v>
      </c>
      <c r="K49" s="75" t="s">
        <v>87</v>
      </c>
      <c r="L49" s="60" t="e">
        <f>F49*L$20/E$94</f>
        <v>#REF!</v>
      </c>
      <c r="M49" s="61">
        <v>0.15</v>
      </c>
    </row>
    <row r="50" spans="2:13" ht="19.25" customHeight="1" x14ac:dyDescent="0.35">
      <c r="B50" s="62" t="e">
        <f t="shared" si="3"/>
        <v>#REF!</v>
      </c>
      <c r="C50" s="112" t="e">
        <f t="shared" si="3"/>
        <v>#REF!</v>
      </c>
      <c r="D50" s="183" t="s">
        <v>85</v>
      </c>
      <c r="E50" s="275"/>
      <c r="F50" s="184">
        <f>M50*M$20/M$83</f>
        <v>1.4111953129975163</v>
      </c>
      <c r="G50" s="56" t="e">
        <f t="shared" si="0"/>
        <v>#REF!</v>
      </c>
      <c r="H50" s="159">
        <v>5.272114E-2</v>
      </c>
      <c r="I50" s="123">
        <v>17.8</v>
      </c>
      <c r="J50" s="179">
        <v>2.8</v>
      </c>
      <c r="K50" s="74"/>
      <c r="L50" s="60" t="e">
        <f>F50*L$20/E$94</f>
        <v>#REF!</v>
      </c>
      <c r="M50" s="61">
        <v>4</v>
      </c>
    </row>
    <row r="51" spans="2:13" ht="18.5" x14ac:dyDescent="0.35">
      <c r="B51" s="96"/>
      <c r="C51" s="116"/>
      <c r="D51" s="117"/>
      <c r="E51" s="275"/>
      <c r="F51" s="55"/>
      <c r="G51" s="172" t="e">
        <f>SUM(G44:G50)</f>
        <v>#REF!</v>
      </c>
      <c r="H51" s="266"/>
      <c r="I51" s="66"/>
      <c r="J51" s="67"/>
      <c r="K51" s="118"/>
      <c r="L51" s="60"/>
      <c r="M51" s="61"/>
    </row>
    <row r="52" spans="2:13" ht="19" thickBot="1" x14ac:dyDescent="0.4">
      <c r="B52" s="84"/>
      <c r="C52" s="119"/>
      <c r="D52" s="120"/>
      <c r="E52" s="121"/>
      <c r="F52" s="78"/>
      <c r="G52" s="56"/>
      <c r="H52" s="256"/>
      <c r="I52" s="123"/>
      <c r="J52" s="124"/>
      <c r="K52" s="125"/>
      <c r="L52" s="60"/>
      <c r="M52" s="61"/>
    </row>
    <row r="53" spans="2:13" ht="18.75" customHeight="1" thickBot="1" x14ac:dyDescent="0.4">
      <c r="B53" s="106"/>
      <c r="C53" s="107"/>
      <c r="D53" s="226" t="s">
        <v>45</v>
      </c>
      <c r="E53" s="227"/>
      <c r="F53" s="228"/>
      <c r="G53" s="229"/>
      <c r="H53" s="270"/>
      <c r="I53" s="230"/>
      <c r="J53" s="231"/>
      <c r="K53" s="232"/>
      <c r="L53" s="60"/>
      <c r="M53" s="61"/>
    </row>
    <row r="54" spans="2:13" ht="21" customHeight="1" x14ac:dyDescent="0.35">
      <c r="B54" s="51">
        <v>99</v>
      </c>
      <c r="C54" s="52">
        <v>99</v>
      </c>
      <c r="D54" s="208" t="s">
        <v>46</v>
      </c>
      <c r="E54" s="54">
        <v>5</v>
      </c>
      <c r="F54" s="152">
        <f>M54*M$20/M$83</f>
        <v>1.0583964847481371</v>
      </c>
      <c r="G54" s="209" t="e">
        <f>L54</f>
        <v>#REF!</v>
      </c>
      <c r="H54" s="135">
        <v>1.3771012</v>
      </c>
      <c r="I54" s="57">
        <v>20</v>
      </c>
      <c r="J54" s="58">
        <v>3.4</v>
      </c>
      <c r="K54" s="233"/>
      <c r="L54" s="60" t="e">
        <f>F54*L$20/E$94</f>
        <v>#REF!</v>
      </c>
      <c r="M54" s="61">
        <v>3</v>
      </c>
    </row>
    <row r="55" spans="2:13" ht="21" customHeight="1" x14ac:dyDescent="0.35">
      <c r="B55" s="126">
        <v>100</v>
      </c>
      <c r="C55" s="127">
        <v>100</v>
      </c>
      <c r="D55" s="191" t="s">
        <v>47</v>
      </c>
      <c r="E55" s="65">
        <v>5</v>
      </c>
      <c r="F55" s="184">
        <f>M55*M$20/M$83</f>
        <v>1.0583964847481371</v>
      </c>
      <c r="G55" s="273" t="e">
        <f>L55</f>
        <v>#REF!</v>
      </c>
      <c r="H55" s="271">
        <v>0.39380111000000001</v>
      </c>
      <c r="I55" s="192">
        <v>21</v>
      </c>
      <c r="J55" s="100">
        <v>6.4</v>
      </c>
      <c r="K55" s="68"/>
      <c r="L55" s="60" t="e">
        <f>F55*L$20/E$94</f>
        <v>#REF!</v>
      </c>
      <c r="M55" s="61">
        <v>3</v>
      </c>
    </row>
    <row r="56" spans="2:13" ht="21" customHeight="1" x14ac:dyDescent="0.35">
      <c r="B56" s="62">
        <v>101</v>
      </c>
      <c r="C56" s="63">
        <v>101</v>
      </c>
      <c r="D56" s="69" t="s">
        <v>48</v>
      </c>
      <c r="E56" s="65">
        <v>1</v>
      </c>
      <c r="F56" s="184">
        <f>M56*M$20/M$83</f>
        <v>0.17639941412468954</v>
      </c>
      <c r="G56" s="273" t="e">
        <f>L56</f>
        <v>#REF!</v>
      </c>
      <c r="H56" s="271">
        <v>4.2383289999999997E-2</v>
      </c>
      <c r="I56" s="192">
        <v>20</v>
      </c>
      <c r="J56" s="100">
        <v>3.9</v>
      </c>
      <c r="K56" s="68"/>
      <c r="L56" s="60" t="e">
        <f>F56*L$20/E$94</f>
        <v>#REF!</v>
      </c>
      <c r="M56" s="61">
        <v>0.5</v>
      </c>
    </row>
    <row r="57" spans="2:13" ht="18.75" customHeight="1" x14ac:dyDescent="0.35">
      <c r="B57" s="84">
        <v>102</v>
      </c>
      <c r="C57" s="85">
        <v>102</v>
      </c>
      <c r="D57" s="104" t="s">
        <v>89</v>
      </c>
      <c r="E57" s="65"/>
      <c r="F57" s="55"/>
      <c r="G57" s="186"/>
      <c r="H57" s="271">
        <v>0</v>
      </c>
      <c r="I57" s="128">
        <v>20</v>
      </c>
      <c r="J57" s="100">
        <v>0</v>
      </c>
      <c r="K57" s="75" t="s">
        <v>44</v>
      </c>
      <c r="L57" s="60" t="e">
        <f>F57*L$20/E$94</f>
        <v>#REF!</v>
      </c>
      <c r="M57" s="61">
        <v>0.5</v>
      </c>
    </row>
    <row r="58" spans="2:13" ht="19" thickBot="1" x14ac:dyDescent="0.4">
      <c r="B58" s="84"/>
      <c r="C58" s="85"/>
      <c r="D58" s="103"/>
      <c r="E58" s="121"/>
      <c r="F58" s="78"/>
      <c r="G58" s="173" t="e">
        <f>SUM(G54:G57)</f>
        <v>#REF!</v>
      </c>
      <c r="H58" s="173">
        <f>SUM(H54:H57)</f>
        <v>1.8132856000000002</v>
      </c>
      <c r="I58" s="123"/>
      <c r="J58" s="124"/>
      <c r="K58" s="125"/>
      <c r="L58" s="60" t="e">
        <f>F58*L$20/E$94</f>
        <v>#REF!</v>
      </c>
      <c r="M58" s="61"/>
    </row>
    <row r="59" spans="2:13" ht="19" thickBot="1" x14ac:dyDescent="0.4">
      <c r="B59" s="237"/>
      <c r="C59" s="252"/>
      <c r="D59" s="251" t="s">
        <v>49</v>
      </c>
      <c r="E59" s="276"/>
      <c r="F59" s="229"/>
      <c r="G59" s="235"/>
      <c r="H59" s="272"/>
      <c r="I59" s="236"/>
      <c r="J59" s="243"/>
      <c r="K59" s="245"/>
      <c r="L59" s="60" t="e">
        <f>F59*L$20/E$94</f>
        <v>#REF!</v>
      </c>
      <c r="M59" s="61"/>
    </row>
    <row r="60" spans="2:13" ht="20" customHeight="1" x14ac:dyDescent="0.35">
      <c r="B60" s="51">
        <v>103</v>
      </c>
      <c r="C60" s="52">
        <v>103</v>
      </c>
      <c r="D60" s="249" t="s">
        <v>50</v>
      </c>
      <c r="E60" s="54">
        <v>2</v>
      </c>
      <c r="F60" s="152">
        <f>M60*M$20/M$83</f>
        <v>1.3053556645227027</v>
      </c>
      <c r="G60" s="238" t="e">
        <f>L60</f>
        <v>#REF!</v>
      </c>
      <c r="H60" s="135">
        <v>0.95197211000000004</v>
      </c>
      <c r="I60" s="57">
        <v>20.3</v>
      </c>
      <c r="J60" s="136">
        <v>5.0999999999999996</v>
      </c>
      <c r="K60" s="247"/>
      <c r="L60" s="60" t="e">
        <f>F60*L$20/E$94</f>
        <v>#REF!</v>
      </c>
      <c r="M60" s="61">
        <v>3.7</v>
      </c>
    </row>
    <row r="61" spans="2:13" ht="20" customHeight="1" x14ac:dyDescent="0.35">
      <c r="B61" s="62">
        <v>104</v>
      </c>
      <c r="C61" s="63">
        <v>104</v>
      </c>
      <c r="D61" s="115" t="s">
        <v>51</v>
      </c>
      <c r="E61" s="65">
        <v>7.5</v>
      </c>
      <c r="F61" s="55">
        <f>M61*M$20/M$83</f>
        <v>3.5279882824937907</v>
      </c>
      <c r="G61" s="56" t="e">
        <f>L61</f>
        <v>#REF!</v>
      </c>
      <c r="H61" s="71">
        <v>2.9885160000000002</v>
      </c>
      <c r="I61" s="66">
        <v>21.5</v>
      </c>
      <c r="J61" s="139">
        <v>7</v>
      </c>
      <c r="K61" s="118"/>
      <c r="L61" s="60" t="e">
        <f>F61*L$20/E$94</f>
        <v>#REF!</v>
      </c>
      <c r="M61" s="61">
        <v>10</v>
      </c>
    </row>
    <row r="62" spans="2:13" ht="19" thickBot="1" x14ac:dyDescent="0.4">
      <c r="B62" s="129"/>
      <c r="C62" s="130"/>
      <c r="D62" s="250"/>
      <c r="E62" s="149"/>
      <c r="F62" s="239"/>
      <c r="G62" s="257" t="e">
        <f>SUM(G60:G61)</f>
        <v>#REF!</v>
      </c>
      <c r="H62" s="257">
        <f>SUM(H60:H61)</f>
        <v>3.9404881100000004</v>
      </c>
      <c r="I62" s="143"/>
      <c r="J62" s="242"/>
      <c r="K62" s="248"/>
      <c r="L62" s="60"/>
      <c r="M62" s="61"/>
    </row>
    <row r="63" spans="2:13" ht="19" thickBot="1" x14ac:dyDescent="0.4">
      <c r="B63" s="106"/>
      <c r="C63" s="240"/>
      <c r="D63" s="241"/>
      <c r="E63" s="276"/>
      <c r="F63" s="235"/>
      <c r="G63" s="235"/>
      <c r="H63" s="272"/>
      <c r="I63" s="230"/>
      <c r="J63" s="244"/>
      <c r="K63" s="246"/>
      <c r="L63" s="60"/>
      <c r="M63" s="61"/>
    </row>
    <row r="64" spans="2:13" ht="42.75" customHeight="1" thickBot="1" x14ac:dyDescent="0.5">
      <c r="B64" s="13" t="s">
        <v>14</v>
      </c>
      <c r="C64" s="30"/>
      <c r="D64" s="31"/>
      <c r="E64" s="26">
        <f>SUM(E65:E70)</f>
        <v>204</v>
      </c>
      <c r="F64" s="26">
        <f>SUM(F65:F70)</f>
        <v>95.806597465452455</v>
      </c>
      <c r="G64" s="26" t="e">
        <f>SUM(G65:G70)</f>
        <v>#REF!</v>
      </c>
      <c r="H64" s="26">
        <f>SUM(H65:H70)</f>
        <v>81.593000000000018</v>
      </c>
      <c r="I64" s="234"/>
      <c r="J64" s="34"/>
      <c r="K64" s="21" t="s">
        <v>52</v>
      </c>
      <c r="L64" s="60"/>
      <c r="M64" s="131"/>
    </row>
    <row r="65" spans="2:13" ht="18.649999999999999" customHeight="1" x14ac:dyDescent="0.35">
      <c r="B65" s="51">
        <v>105</v>
      </c>
      <c r="C65" s="132">
        <v>1</v>
      </c>
      <c r="D65" s="133" t="s">
        <v>53</v>
      </c>
      <c r="E65" s="134">
        <v>120</v>
      </c>
      <c r="F65" s="55">
        <v>50</v>
      </c>
      <c r="G65" s="273">
        <f t="shared" si="0"/>
        <v>50</v>
      </c>
      <c r="H65" s="135">
        <v>37.737000000000002</v>
      </c>
      <c r="I65" s="57">
        <v>23</v>
      </c>
      <c r="J65" s="136">
        <v>22</v>
      </c>
      <c r="K65" s="180" t="s">
        <v>86</v>
      </c>
      <c r="L65" s="60">
        <v>50</v>
      </c>
      <c r="M65" s="61">
        <v>0</v>
      </c>
    </row>
    <row r="66" spans="2:13" ht="18" customHeight="1" x14ac:dyDescent="0.35">
      <c r="B66" s="62">
        <f>B65+1</f>
        <v>106</v>
      </c>
      <c r="C66" s="76">
        <f>C65+1</f>
        <v>2</v>
      </c>
      <c r="D66" s="137" t="s">
        <v>54</v>
      </c>
      <c r="E66" s="138">
        <v>6</v>
      </c>
      <c r="F66" s="55">
        <f>M66*M$20/M$83</f>
        <v>0.28223906259950327</v>
      </c>
      <c r="G66" s="273" t="e">
        <f t="shared" si="0"/>
        <v>#REF!</v>
      </c>
      <c r="H66" s="71">
        <v>0.23400000000000001</v>
      </c>
      <c r="I66" s="66">
        <v>23</v>
      </c>
      <c r="J66" s="139">
        <v>22</v>
      </c>
      <c r="K66" s="140" t="s">
        <v>55</v>
      </c>
      <c r="L66" s="60" t="e">
        <f>F66*L$20/E$94</f>
        <v>#REF!</v>
      </c>
      <c r="M66" s="61">
        <v>0.8</v>
      </c>
    </row>
    <row r="67" spans="2:13" ht="15.5" x14ac:dyDescent="0.35">
      <c r="B67" s="62">
        <f t="shared" ref="B67:B70" si="4">B66+1</f>
        <v>107</v>
      </c>
      <c r="C67" s="76">
        <v>3</v>
      </c>
      <c r="D67" s="147" t="s">
        <v>56</v>
      </c>
      <c r="E67" s="138"/>
      <c r="F67" s="55">
        <f>M67*M$20/M$83</f>
        <v>0.88199707062344768</v>
      </c>
      <c r="G67" s="273" t="e">
        <f t="shared" si="0"/>
        <v>#REF!</v>
      </c>
      <c r="H67" s="71">
        <v>1.28</v>
      </c>
      <c r="I67" s="66">
        <v>28</v>
      </c>
      <c r="J67" s="139">
        <v>26</v>
      </c>
      <c r="K67" s="140" t="s">
        <v>55</v>
      </c>
      <c r="L67" s="60" t="e">
        <f>F67*L$20/E$94</f>
        <v>#REF!</v>
      </c>
      <c r="M67" s="61">
        <v>2.5</v>
      </c>
    </row>
    <row r="68" spans="2:13" ht="19.25" customHeight="1" x14ac:dyDescent="0.35">
      <c r="B68" s="62">
        <f t="shared" si="4"/>
        <v>108</v>
      </c>
      <c r="C68" s="76">
        <v>4</v>
      </c>
      <c r="D68" s="137" t="s">
        <v>57</v>
      </c>
      <c r="E68" s="138">
        <v>60</v>
      </c>
      <c r="F68" s="55">
        <v>33</v>
      </c>
      <c r="G68" s="273">
        <f t="shared" ref="G68:G82" si="5">L68</f>
        <v>33</v>
      </c>
      <c r="H68" s="71">
        <v>33</v>
      </c>
      <c r="I68" s="66">
        <v>24.5</v>
      </c>
      <c r="J68" s="139">
        <v>19.5</v>
      </c>
      <c r="K68" s="224" t="s">
        <v>55</v>
      </c>
      <c r="L68" s="60">
        <v>33</v>
      </c>
      <c r="M68" s="61">
        <v>0</v>
      </c>
    </row>
    <row r="69" spans="2:13" ht="15.5" x14ac:dyDescent="0.35">
      <c r="B69" s="62">
        <f t="shared" si="4"/>
        <v>109</v>
      </c>
      <c r="C69" s="76">
        <v>5</v>
      </c>
      <c r="D69" s="141" t="s">
        <v>58</v>
      </c>
      <c r="E69" s="138">
        <v>6</v>
      </c>
      <c r="F69" s="55">
        <f>M69*M$20/M$83</f>
        <v>4.2335859389925483</v>
      </c>
      <c r="G69" s="273" t="e">
        <f t="shared" si="5"/>
        <v>#REF!</v>
      </c>
      <c r="H69" s="71">
        <v>4.0430000000000001</v>
      </c>
      <c r="I69" s="66">
        <v>28</v>
      </c>
      <c r="J69" s="139">
        <v>3.4</v>
      </c>
      <c r="K69" s="140" t="s">
        <v>55</v>
      </c>
      <c r="L69" s="60" t="e">
        <f>F69*L$20/E$94</f>
        <v>#REF!</v>
      </c>
      <c r="M69" s="61">
        <v>12</v>
      </c>
    </row>
    <row r="70" spans="2:13" ht="16" thickBot="1" x14ac:dyDescent="0.4">
      <c r="B70" s="62">
        <f t="shared" si="4"/>
        <v>110</v>
      </c>
      <c r="C70" s="162">
        <v>6</v>
      </c>
      <c r="D70" s="163" t="s">
        <v>59</v>
      </c>
      <c r="E70" s="164">
        <v>12</v>
      </c>
      <c r="F70" s="55">
        <f>M70*M$20/M$83</f>
        <v>7.4087753932369607</v>
      </c>
      <c r="G70" s="190" t="e">
        <f t="shared" si="5"/>
        <v>#REF!</v>
      </c>
      <c r="H70" s="165">
        <v>5.2990000000000004</v>
      </c>
      <c r="I70" s="87">
        <v>25</v>
      </c>
      <c r="J70" s="155">
        <v>4.3</v>
      </c>
      <c r="K70" s="223" t="s">
        <v>55</v>
      </c>
      <c r="L70" s="60" t="e">
        <f>F70*L$20/E$94</f>
        <v>#REF!</v>
      </c>
      <c r="M70" s="61">
        <v>21</v>
      </c>
    </row>
    <row r="71" spans="2:13" ht="49.25" customHeight="1" thickBot="1" x14ac:dyDescent="0.5">
      <c r="B71" s="13" t="s">
        <v>15</v>
      </c>
      <c r="C71" s="30"/>
      <c r="D71" s="31"/>
      <c r="E71" s="16">
        <f>SUM(E72:E76)</f>
        <v>23.2</v>
      </c>
      <c r="F71" s="16">
        <f>SUM(F72:F76)</f>
        <v>10.583964847481372</v>
      </c>
      <c r="G71" s="32" t="e">
        <f>SUM(G72:G76)</f>
        <v>#REF!</v>
      </c>
      <c r="H71" s="32">
        <f>SUM(H72:H76)</f>
        <v>6.6120000000000001</v>
      </c>
      <c r="I71" s="33"/>
      <c r="J71" s="34"/>
      <c r="K71" s="35" t="s">
        <v>93</v>
      </c>
      <c r="L71" s="60"/>
      <c r="M71" s="131"/>
    </row>
    <row r="72" spans="2:13" ht="15.5" x14ac:dyDescent="0.35">
      <c r="B72" s="51">
        <v>111</v>
      </c>
      <c r="C72" s="52">
        <v>1</v>
      </c>
      <c r="D72" s="144" t="s">
        <v>60</v>
      </c>
      <c r="E72" s="54">
        <v>9.6</v>
      </c>
      <c r="F72" s="55">
        <f>M72*M$20/M$83</f>
        <v>1.7639941412468954</v>
      </c>
      <c r="G72" s="56" t="e">
        <f t="shared" si="5"/>
        <v>#REF!</v>
      </c>
      <c r="H72" s="135">
        <v>2.827</v>
      </c>
      <c r="I72" s="57">
        <v>46</v>
      </c>
      <c r="J72" s="58">
        <v>4.3</v>
      </c>
      <c r="K72" s="145" t="s">
        <v>55</v>
      </c>
      <c r="L72" s="60" t="e">
        <f>F72*L$20/E$94</f>
        <v>#REF!</v>
      </c>
      <c r="M72" s="61">
        <v>5</v>
      </c>
    </row>
    <row r="73" spans="2:13" ht="15.5" x14ac:dyDescent="0.35">
      <c r="B73" s="62">
        <f>B72+1</f>
        <v>112</v>
      </c>
      <c r="C73" s="63">
        <f>C72+1</f>
        <v>2</v>
      </c>
      <c r="D73" s="137" t="s">
        <v>61</v>
      </c>
      <c r="E73" s="65">
        <v>5</v>
      </c>
      <c r="F73" s="55">
        <f>M73*M$20/M$83</f>
        <v>2.4695917977456534</v>
      </c>
      <c r="G73" s="56" t="e">
        <f t="shared" si="5"/>
        <v>#REF!</v>
      </c>
      <c r="H73" s="71">
        <v>0.66400000000000003</v>
      </c>
      <c r="I73" s="66">
        <v>40</v>
      </c>
      <c r="J73" s="67">
        <v>8</v>
      </c>
      <c r="K73" s="146" t="s">
        <v>55</v>
      </c>
      <c r="L73" s="60" t="e">
        <f>F73*L$20/E$94</f>
        <v>#REF!</v>
      </c>
      <c r="M73" s="61">
        <v>7</v>
      </c>
    </row>
    <row r="74" spans="2:13" ht="15.5" x14ac:dyDescent="0.35">
      <c r="B74" s="62">
        <f t="shared" ref="B74:C75" si="6">B73+1</f>
        <v>113</v>
      </c>
      <c r="C74" s="63">
        <f t="shared" si="6"/>
        <v>3</v>
      </c>
      <c r="D74" s="137" t="s">
        <v>62</v>
      </c>
      <c r="E74" s="65">
        <v>5.6</v>
      </c>
      <c r="F74" s="55">
        <f>M74*M$20/M$83</f>
        <v>0.52919824237406854</v>
      </c>
      <c r="G74" s="56" t="e">
        <f t="shared" si="5"/>
        <v>#REF!</v>
      </c>
      <c r="H74" s="71">
        <v>0.71899999999999997</v>
      </c>
      <c r="I74" s="66">
        <v>40</v>
      </c>
      <c r="J74" s="67">
        <v>12</v>
      </c>
      <c r="K74" s="146" t="s">
        <v>55</v>
      </c>
      <c r="L74" s="60" t="e">
        <f>F74*L$20/E$94</f>
        <v>#REF!</v>
      </c>
      <c r="M74" s="61">
        <v>1.5</v>
      </c>
    </row>
    <row r="75" spans="2:13" ht="15.5" x14ac:dyDescent="0.35">
      <c r="B75" s="62">
        <f t="shared" si="6"/>
        <v>114</v>
      </c>
      <c r="C75" s="63">
        <f t="shared" si="6"/>
        <v>4</v>
      </c>
      <c r="D75" s="137" t="s">
        <v>63</v>
      </c>
      <c r="E75" s="65">
        <v>3</v>
      </c>
      <c r="F75" s="55">
        <f>M75*M$20/M$83</f>
        <v>0.52919824237406854</v>
      </c>
      <c r="G75" s="56" t="e">
        <f t="shared" si="5"/>
        <v>#REF!</v>
      </c>
      <c r="H75" s="71">
        <v>0.32800000000000001</v>
      </c>
      <c r="I75" s="66">
        <v>22</v>
      </c>
      <c r="J75" s="67">
        <v>2.9</v>
      </c>
      <c r="K75" s="146" t="s">
        <v>55</v>
      </c>
      <c r="L75" s="60" t="e">
        <f>F75*L$20/E$94</f>
        <v>#REF!</v>
      </c>
      <c r="M75" s="61">
        <v>1.5</v>
      </c>
    </row>
    <row r="76" spans="2:13" ht="16" thickBot="1" x14ac:dyDescent="0.4">
      <c r="B76" s="62" t="e">
        <f>#REF!+1</f>
        <v>#REF!</v>
      </c>
      <c r="C76" s="85">
        <v>13</v>
      </c>
      <c r="D76" s="148" t="s">
        <v>67</v>
      </c>
      <c r="E76" s="149">
        <v>0</v>
      </c>
      <c r="F76" s="55">
        <f>M76*M$20/M$83</f>
        <v>5.2919824237406861</v>
      </c>
      <c r="G76" s="56" t="e">
        <f t="shared" si="5"/>
        <v>#REF!</v>
      </c>
      <c r="H76" s="150">
        <v>2.0739999999999998</v>
      </c>
      <c r="I76" s="143">
        <v>50</v>
      </c>
      <c r="J76" s="151">
        <v>21</v>
      </c>
      <c r="K76" s="225" t="s">
        <v>68</v>
      </c>
      <c r="L76" s="60" t="e">
        <f>F76*L$20/E$94</f>
        <v>#REF!</v>
      </c>
      <c r="M76" s="61">
        <v>15</v>
      </c>
    </row>
    <row r="77" spans="2:13" ht="48" customHeight="1" thickBot="1" x14ac:dyDescent="0.5">
      <c r="B77" s="13" t="s">
        <v>16</v>
      </c>
      <c r="C77" s="30"/>
      <c r="D77" s="36"/>
      <c r="E77" s="16">
        <f>E78+E82+E81</f>
        <v>22.4</v>
      </c>
      <c r="F77" s="37">
        <v>3</v>
      </c>
      <c r="G77" s="37">
        <v>3</v>
      </c>
      <c r="H77" s="37">
        <f>SUM(H78:H82)</f>
        <v>1.0068676000000001</v>
      </c>
      <c r="I77" s="33"/>
      <c r="J77" s="34"/>
      <c r="K77" s="38" t="s">
        <v>69</v>
      </c>
      <c r="L77" s="60"/>
      <c r="M77" s="131"/>
    </row>
    <row r="78" spans="2:13" ht="19.5" customHeight="1" x14ac:dyDescent="0.35">
      <c r="B78" s="51">
        <v>124</v>
      </c>
      <c r="C78" s="52">
        <v>1</v>
      </c>
      <c r="D78" s="133" t="s">
        <v>70</v>
      </c>
      <c r="E78" s="286">
        <v>20.399999999999999</v>
      </c>
      <c r="F78" s="152">
        <v>3</v>
      </c>
      <c r="G78" s="56">
        <v>3</v>
      </c>
      <c r="H78" s="135">
        <v>1.0068676000000001</v>
      </c>
      <c r="I78" s="153">
        <v>47.2</v>
      </c>
      <c r="J78" s="154">
        <v>32</v>
      </c>
      <c r="K78" s="176" t="s">
        <v>55</v>
      </c>
      <c r="L78" s="60">
        <v>0</v>
      </c>
      <c r="M78" s="61">
        <v>0</v>
      </c>
    </row>
    <row r="79" spans="2:13" ht="19.5" customHeight="1" x14ac:dyDescent="0.35">
      <c r="B79" s="62">
        <f>B78+1</f>
        <v>125</v>
      </c>
      <c r="C79" s="127">
        <v>2</v>
      </c>
      <c r="D79" s="216" t="s">
        <v>71</v>
      </c>
      <c r="E79" s="287"/>
      <c r="F79" s="122">
        <v>0</v>
      </c>
      <c r="G79" s="220">
        <f>L79</f>
        <v>0</v>
      </c>
      <c r="H79" s="159">
        <v>0</v>
      </c>
      <c r="I79" s="170"/>
      <c r="J79" s="174"/>
      <c r="K79" s="175" t="s">
        <v>64</v>
      </c>
      <c r="L79" s="60"/>
      <c r="M79" s="61"/>
    </row>
    <row r="80" spans="2:13" ht="19.5" customHeight="1" x14ac:dyDescent="0.35">
      <c r="B80" s="62">
        <f t="shared" ref="B80:B82" si="7">B79+1</f>
        <v>126</v>
      </c>
      <c r="C80" s="63">
        <v>3</v>
      </c>
      <c r="D80" s="147" t="s">
        <v>72</v>
      </c>
      <c r="E80" s="285"/>
      <c r="F80" s="55">
        <v>0</v>
      </c>
      <c r="G80" s="181">
        <v>0</v>
      </c>
      <c r="H80" s="71">
        <v>0</v>
      </c>
      <c r="I80" s="217"/>
      <c r="J80" s="221"/>
      <c r="K80" s="218" t="s">
        <v>73</v>
      </c>
      <c r="L80" s="60"/>
      <c r="M80" s="61"/>
    </row>
    <row r="81" spans="2:13" ht="19.5" customHeight="1" x14ac:dyDescent="0.35">
      <c r="B81" s="96">
        <f t="shared" si="7"/>
        <v>127</v>
      </c>
      <c r="C81" s="85">
        <v>4</v>
      </c>
      <c r="D81" s="253" t="s">
        <v>74</v>
      </c>
      <c r="E81" s="277">
        <v>1</v>
      </c>
      <c r="F81" s="78" t="e">
        <f>M81*L20/M83</f>
        <v>#REF!</v>
      </c>
      <c r="G81" s="56" t="e">
        <f>L81</f>
        <v>#REF!</v>
      </c>
      <c r="H81" s="165">
        <v>0</v>
      </c>
      <c r="I81" s="254">
        <f>I78</f>
        <v>47.2</v>
      </c>
      <c r="J81" s="222">
        <v>0</v>
      </c>
      <c r="K81" s="255" t="s">
        <v>27</v>
      </c>
      <c r="L81" s="60" t="e">
        <f>F81*L$20/E$94</f>
        <v>#REF!</v>
      </c>
      <c r="M81" s="61">
        <v>1.5</v>
      </c>
    </row>
    <row r="82" spans="2:13" ht="16" thickBot="1" x14ac:dyDescent="0.4">
      <c r="B82" s="126">
        <f t="shared" si="7"/>
        <v>128</v>
      </c>
      <c r="C82" s="130">
        <v>5</v>
      </c>
      <c r="D82" s="219" t="s">
        <v>75</v>
      </c>
      <c r="E82" s="149">
        <v>1</v>
      </c>
      <c r="F82" s="78" t="e">
        <f>M82*L20/M83</f>
        <v>#REF!</v>
      </c>
      <c r="G82" s="56" t="e">
        <f t="shared" si="5"/>
        <v>#REF!</v>
      </c>
      <c r="H82" s="150">
        <v>0</v>
      </c>
      <c r="I82" s="87"/>
      <c r="J82" s="222"/>
      <c r="K82" s="156" t="s">
        <v>76</v>
      </c>
      <c r="L82" s="60" t="e">
        <f>F82*L$20/E$94</f>
        <v>#REF!</v>
      </c>
      <c r="M82" s="61">
        <v>0.5</v>
      </c>
    </row>
    <row r="83" spans="2:13" ht="19" thickBot="1" x14ac:dyDescent="0.4">
      <c r="B83" s="288" t="s">
        <v>17</v>
      </c>
      <c r="C83" s="289"/>
      <c r="D83" s="290"/>
      <c r="E83" s="39">
        <f>SUM(E26:E58)+SUM(E65:E70)+SUM(E72:E76)+SUM(E78:E82)</f>
        <v>684.87</v>
      </c>
      <c r="F83" s="40" t="e">
        <f>SUM(F26:F50)+SUM(F54:F57)+SUM(F65:F70)+SUM(F72:F76)+SUM(F78:F82)</f>
        <v>#REF!</v>
      </c>
      <c r="G83" s="40" t="e">
        <f>SUM(G25,G64,G71,G77)</f>
        <v>#REF!</v>
      </c>
      <c r="H83" s="39">
        <f>H25+H64+H71+H77</f>
        <v>274.13843285000007</v>
      </c>
      <c r="I83" s="291"/>
      <c r="J83" s="292"/>
      <c r="K83" s="187">
        <f>H11-G11</f>
        <v>-81.331567149999955</v>
      </c>
      <c r="L83" s="60"/>
      <c r="M83" s="131">
        <f>SUM(M26:M82)</f>
        <v>785.15000000000009</v>
      </c>
    </row>
    <row r="84" spans="2:13" ht="19" thickBot="1" x14ac:dyDescent="0.5">
      <c r="B84" s="1"/>
      <c r="C84" s="1"/>
      <c r="D84" s="41"/>
      <c r="E84" s="178"/>
      <c r="F84" s="42"/>
      <c r="G84" s="42"/>
      <c r="H84" s="169"/>
      <c r="I84" s="43"/>
      <c r="J84" s="43"/>
      <c r="K84" s="1"/>
      <c r="L84" s="60"/>
    </row>
    <row r="85" spans="2:13" ht="23.25" customHeight="1" thickBot="1" x14ac:dyDescent="0.4">
      <c r="B85" s="278" t="s">
        <v>18</v>
      </c>
      <c r="C85" s="279"/>
      <c r="D85" s="280"/>
      <c r="E85" s="193">
        <f>SUM(E86:E90)</f>
        <v>312</v>
      </c>
      <c r="F85" s="193">
        <f>SUM(F86:F90)</f>
        <v>103.51373756000001</v>
      </c>
      <c r="G85" s="193">
        <f t="shared" ref="G85:H85" si="8">SUM(G86:G90)</f>
        <v>93.51373756000001</v>
      </c>
      <c r="H85" s="193">
        <f t="shared" si="8"/>
        <v>47.620589569999993</v>
      </c>
      <c r="I85" s="194"/>
      <c r="J85" s="195"/>
      <c r="K85" s="196" t="s">
        <v>77</v>
      </c>
      <c r="L85" s="60"/>
    </row>
    <row r="86" spans="2:13" ht="15.5" x14ac:dyDescent="0.35">
      <c r="B86" s="51">
        <v>129</v>
      </c>
      <c r="C86" s="200">
        <v>1</v>
      </c>
      <c r="D86" s="201" t="s">
        <v>78</v>
      </c>
      <c r="E86" s="157">
        <v>5</v>
      </c>
      <c r="F86" s="158">
        <v>4.4107375600000003</v>
      </c>
      <c r="G86" s="158">
        <v>4.4107375600000003</v>
      </c>
      <c r="H86" s="135">
        <v>11.48</v>
      </c>
      <c r="I86" s="153">
        <v>41.63</v>
      </c>
      <c r="J86" s="153">
        <f>I86</f>
        <v>41.63</v>
      </c>
      <c r="K86" s="202" t="s">
        <v>55</v>
      </c>
      <c r="L86" s="60"/>
    </row>
    <row r="87" spans="2:13" ht="15.5" x14ac:dyDescent="0.35">
      <c r="B87" s="62">
        <f>B86+1</f>
        <v>130</v>
      </c>
      <c r="C87" s="197">
        <v>2</v>
      </c>
      <c r="D87" s="198" t="s">
        <v>79</v>
      </c>
      <c r="E87" s="160">
        <v>100</v>
      </c>
      <c r="F87" s="161">
        <v>57.103000000000002</v>
      </c>
      <c r="G87" s="161">
        <v>57.103000000000002</v>
      </c>
      <c r="H87" s="71">
        <v>11.75158957</v>
      </c>
      <c r="I87" s="66"/>
      <c r="J87" s="66"/>
      <c r="K87" s="203" t="s">
        <v>55</v>
      </c>
      <c r="L87" s="60"/>
    </row>
    <row r="88" spans="2:13" ht="15.5" x14ac:dyDescent="0.35">
      <c r="B88" s="62">
        <f t="shared" ref="B88:B90" si="9">B87+1</f>
        <v>131</v>
      </c>
      <c r="C88" s="197">
        <v>3</v>
      </c>
      <c r="D88" s="199" t="s">
        <v>80</v>
      </c>
      <c r="E88" s="70">
        <v>27</v>
      </c>
      <c r="F88" s="70">
        <v>12</v>
      </c>
      <c r="G88" s="70">
        <v>12</v>
      </c>
      <c r="H88" s="71">
        <v>12</v>
      </c>
      <c r="I88" s="66" t="e">
        <f>#REF!</f>
        <v>#REF!</v>
      </c>
      <c r="J88" s="66" t="e">
        <f>#REF!</f>
        <v>#REF!</v>
      </c>
      <c r="K88" s="204" t="s">
        <v>55</v>
      </c>
      <c r="L88" s="60"/>
    </row>
    <row r="89" spans="2:13" ht="15.5" x14ac:dyDescent="0.35">
      <c r="B89" s="62">
        <f t="shared" si="9"/>
        <v>132</v>
      </c>
      <c r="C89" s="197">
        <v>4</v>
      </c>
      <c r="D89" s="199" t="s">
        <v>81</v>
      </c>
      <c r="E89" s="70">
        <v>60</v>
      </c>
      <c r="F89" s="70">
        <v>30</v>
      </c>
      <c r="G89" s="70">
        <v>20</v>
      </c>
      <c r="H89" s="71">
        <v>12.388999999999999</v>
      </c>
      <c r="I89" s="66">
        <f>I68</f>
        <v>24.5</v>
      </c>
      <c r="J89" s="66">
        <f>J68</f>
        <v>19.5</v>
      </c>
      <c r="K89" s="204" t="s">
        <v>55</v>
      </c>
      <c r="L89" s="60"/>
    </row>
    <row r="90" spans="2:13" ht="16" thickBot="1" x14ac:dyDescent="0.4">
      <c r="B90" s="62">
        <f t="shared" si="9"/>
        <v>133</v>
      </c>
      <c r="C90" s="205">
        <v>5</v>
      </c>
      <c r="D90" s="206" t="s">
        <v>82</v>
      </c>
      <c r="E90" s="142">
        <v>120</v>
      </c>
      <c r="F90" s="142">
        <v>0</v>
      </c>
      <c r="G90" s="142">
        <f>F90</f>
        <v>0</v>
      </c>
      <c r="H90" s="150">
        <v>0</v>
      </c>
      <c r="I90" s="143">
        <f>I65</f>
        <v>23</v>
      </c>
      <c r="J90" s="143">
        <f>J65</f>
        <v>22</v>
      </c>
      <c r="K90" s="207" t="s">
        <v>55</v>
      </c>
      <c r="L90" s="60"/>
    </row>
    <row r="91" spans="2:13" ht="15" thickBot="1" x14ac:dyDescent="0.4">
      <c r="B91" s="1"/>
      <c r="C91" s="1"/>
      <c r="D91" s="43"/>
      <c r="E91" s="178"/>
      <c r="F91" s="46"/>
      <c r="G91" s="46"/>
      <c r="I91" s="1"/>
      <c r="J91" s="1"/>
      <c r="K91" s="47"/>
      <c r="L91" s="7"/>
    </row>
    <row r="92" spans="2:13" ht="21.5" thickBot="1" x14ac:dyDescent="0.4">
      <c r="B92" s="281" t="s">
        <v>19</v>
      </c>
      <c r="C92" s="282"/>
      <c r="D92" s="282"/>
      <c r="E92" s="48"/>
      <c r="F92" s="49"/>
      <c r="G92" s="49"/>
      <c r="H92" s="50">
        <f>H87+H28</f>
        <v>21.75158957</v>
      </c>
      <c r="I92" s="1"/>
      <c r="J92" s="1"/>
      <c r="K92" s="1"/>
      <c r="L92" s="7"/>
    </row>
    <row r="93" spans="2:13" x14ac:dyDescent="0.35">
      <c r="L93" s="7"/>
    </row>
    <row r="94" spans="2:13" ht="15" hidden="1" customHeight="1" x14ac:dyDescent="0.35">
      <c r="D94" t="s">
        <v>83</v>
      </c>
      <c r="E94" s="166">
        <f>G20-G28-G65-G68</f>
        <v>277</v>
      </c>
      <c r="G94" s="167" t="e">
        <f>F83-(F78+#REF!+F28+F65+F68+#REF!)</f>
        <v>#REF!</v>
      </c>
      <c r="L94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5:D85"/>
    <mergeCell ref="B92:D92"/>
    <mergeCell ref="K23:K24"/>
    <mergeCell ref="E78:E80"/>
    <mergeCell ref="B83:D83"/>
    <mergeCell ref="I83:J8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94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361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444.77</v>
      </c>
      <c r="F7" s="17">
        <f>F25</f>
        <v>262.72744061644266</v>
      </c>
      <c r="G7" s="18" t="e">
        <f>G25</f>
        <v>#REF!</v>
      </c>
      <c r="H7" s="259">
        <f>H25</f>
        <v>184.82088221000004</v>
      </c>
      <c r="I7" s="19"/>
      <c r="J7" s="20"/>
      <c r="K7" s="21" t="str">
        <f>K25</f>
        <v>93 Stations on stream, 4 on shutdown, 7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E64</f>
        <v>204</v>
      </c>
      <c r="F8" s="25">
        <f>F64</f>
        <v>95.806597465452455</v>
      </c>
      <c r="G8" s="26" t="e">
        <f>G64</f>
        <v>#REF!</v>
      </c>
      <c r="H8" s="260">
        <f>H64</f>
        <v>89.756</v>
      </c>
      <c r="I8" s="27"/>
      <c r="J8" s="28"/>
      <c r="K8" s="29" t="str">
        <f>K64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E71</f>
        <v>23.2</v>
      </c>
      <c r="F9" s="16">
        <f>F71</f>
        <v>10.583964847481372</v>
      </c>
      <c r="G9" s="32" t="e">
        <f>G71</f>
        <v>#REF!</v>
      </c>
      <c r="H9" s="261">
        <f>H71</f>
        <v>6.4799999999999995</v>
      </c>
      <c r="I9" s="33"/>
      <c r="J9" s="34"/>
      <c r="K9" s="35" t="str">
        <f>K71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E77</f>
        <v>22.4</v>
      </c>
      <c r="F10" s="37">
        <f>F77</f>
        <v>3</v>
      </c>
      <c r="G10" s="37">
        <f>G77</f>
        <v>3</v>
      </c>
      <c r="H10" s="262">
        <f>H77</f>
        <v>2.4232334899999999</v>
      </c>
      <c r="I10" s="33"/>
      <c r="J10" s="34"/>
      <c r="K10" s="38" t="str">
        <f>K77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694.37</v>
      </c>
      <c r="F11" s="40">
        <f>G20+F10</f>
        <v>373</v>
      </c>
      <c r="G11" s="40">
        <f>E20+G10</f>
        <v>361</v>
      </c>
      <c r="H11" s="188">
        <f>SUM(H7:H10)</f>
        <v>283.4801157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96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E85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H85</f>
        <v>38.009195309999996</v>
      </c>
      <c r="I14" s="44"/>
      <c r="J14" s="45"/>
      <c r="K14" s="21" t="str">
        <f>K85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H92</f>
        <v>21.62619531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358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E20-F28-F65-F68-#REF!</f>
        <v>#REF!</v>
      </c>
      <c r="M20" s="7">
        <f>G20-F28-F65-F68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SUM(E26:E61)</f>
        <v>444.77</v>
      </c>
      <c r="F25" s="17">
        <f>SUM(F26:F61)</f>
        <v>262.72744061644266</v>
      </c>
      <c r="G25" s="18" t="e">
        <f>G33+G42+G51+G58+G62</f>
        <v>#REF!</v>
      </c>
      <c r="H25" s="18">
        <f>SUM(H26:H31)+SUM(H36:H40)+SUM(H44:H50)+SUM(H54:H57)+SUM(H60:H61)</f>
        <v>184.82088221000004</v>
      </c>
      <c r="I25" s="19"/>
      <c r="J25" s="20"/>
      <c r="K25" s="21" t="s">
        <v>90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M26*M$20/M$83</f>
        <v>80.43813284085843</v>
      </c>
      <c r="G26" s="56" t="e">
        <f>L26</f>
        <v>#REF!</v>
      </c>
      <c r="H26" s="263">
        <v>53.72</v>
      </c>
      <c r="I26" s="57">
        <v>18.100000000000001</v>
      </c>
      <c r="J26" s="58">
        <v>13.5</v>
      </c>
      <c r="K26" s="59"/>
      <c r="L26" s="60" t="e">
        <f>F26*L$20/E$94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M27*M$20/M$83</f>
        <v>15.1703496147233</v>
      </c>
      <c r="G27" s="56" t="e">
        <f t="shared" ref="G27:G67" si="0">L27</f>
        <v>#REF!</v>
      </c>
      <c r="H27" s="263">
        <v>12.44021906</v>
      </c>
      <c r="I27" s="66">
        <v>23</v>
      </c>
      <c r="J27" s="67">
        <v>9.8000000000000007</v>
      </c>
      <c r="K27" s="68"/>
      <c r="L27" s="60" t="e">
        <f>F27*L$20/E$94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M29*M$20/M$83</f>
        <v>0.42335859389925484</v>
      </c>
      <c r="G29" s="56" t="e">
        <f t="shared" si="0"/>
        <v>#REF!</v>
      </c>
      <c r="H29" s="263">
        <v>8.5959999999999995E-2</v>
      </c>
      <c r="I29" s="66">
        <v>24</v>
      </c>
      <c r="J29" s="67">
        <v>18.8</v>
      </c>
      <c r="K29" s="75"/>
      <c r="L29" s="60" t="e">
        <f>F29*L$20/E$94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M30*M$20/M$83</f>
        <v>40.571865248678591</v>
      </c>
      <c r="G30" s="56" t="e">
        <f>L30</f>
        <v>#REF!</v>
      </c>
      <c r="H30" s="263">
        <v>28.547013239999998</v>
      </c>
      <c r="I30" s="66">
        <v>22</v>
      </c>
      <c r="J30" s="67">
        <v>14.4</v>
      </c>
      <c r="K30" s="68"/>
      <c r="L30" s="60" t="e">
        <f>F30*L$20/E$94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M31*M$20/M$83</f>
        <v>98.78367190982614</v>
      </c>
      <c r="G31" s="56" t="e">
        <f t="shared" si="0"/>
        <v>#REF!</v>
      </c>
      <c r="H31" s="263">
        <v>64.965000000000003</v>
      </c>
      <c r="I31" s="66">
        <v>17.8</v>
      </c>
      <c r="J31" s="67" t="s">
        <v>95</v>
      </c>
      <c r="K31" s="68"/>
      <c r="L31" s="60" t="e">
        <f>F31*L$20/E$94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169.75819230000002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M36*M$20/M$83</f>
        <v>1.7639941412468954</v>
      </c>
      <c r="G36" s="56" t="e">
        <f t="shared" si="0"/>
        <v>#REF!</v>
      </c>
      <c r="H36" s="263">
        <v>2.3474908000000001</v>
      </c>
      <c r="I36" s="99">
        <v>22</v>
      </c>
      <c r="J36" s="100">
        <v>22</v>
      </c>
      <c r="K36" s="75"/>
      <c r="L36" s="60" t="e">
        <f>F36*L$20/E$94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M37*M$20/M$83</f>
        <v>0.2469591797745653</v>
      </c>
      <c r="G37" s="56" t="e">
        <f t="shared" si="0"/>
        <v>#REF!</v>
      </c>
      <c r="H37" s="263">
        <v>0.24831320000000001</v>
      </c>
      <c r="I37" s="66">
        <v>23</v>
      </c>
      <c r="J37" s="67">
        <v>3.5</v>
      </c>
      <c r="K37" s="75"/>
      <c r="L37" s="60" t="e">
        <f>F37*L$20/E$94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M38*M$20/M$83</f>
        <v>0.2469591797745653</v>
      </c>
      <c r="G38" s="56" t="e">
        <f t="shared" si="0"/>
        <v>#REF!</v>
      </c>
      <c r="H38" s="263">
        <v>0.16261632000000001</v>
      </c>
      <c r="I38" s="66">
        <v>24</v>
      </c>
      <c r="J38" s="67">
        <v>3</v>
      </c>
      <c r="K38" s="75"/>
      <c r="L38" s="60" t="e">
        <f>F38*L$20/E$94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M39*M$20/M$83</f>
        <v>0.35279882824937908</v>
      </c>
      <c r="G39" s="56" t="e">
        <f t="shared" si="0"/>
        <v>#REF!</v>
      </c>
      <c r="H39" s="264">
        <v>0.28467170000000003</v>
      </c>
      <c r="I39" s="66">
        <v>21</v>
      </c>
      <c r="J39" s="67">
        <v>3.8</v>
      </c>
      <c r="K39" s="75"/>
      <c r="L39" s="60" t="e">
        <f>F39*L$20/E$94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M40*M$20/M$83</f>
        <v>0.17639941412468954</v>
      </c>
      <c r="G40" s="56" t="e">
        <f t="shared" si="0"/>
        <v>#REF!</v>
      </c>
      <c r="H40" s="263">
        <v>7.5194869999999997E-2</v>
      </c>
      <c r="I40" s="66">
        <v>23</v>
      </c>
      <c r="J40" s="67">
        <v>3.5</v>
      </c>
      <c r="K40" s="75"/>
      <c r="L40" s="60" t="e">
        <f>F40*L$20/E$94</f>
        <v>#REF!</v>
      </c>
      <c r="M40" s="61">
        <v>0.5</v>
      </c>
    </row>
    <row r="41" spans="2:13" ht="15.5" x14ac:dyDescent="0.35">
      <c r="B41" s="62"/>
      <c r="C41" s="85"/>
      <c r="D41" s="104"/>
      <c r="E41" s="105"/>
      <c r="F41" s="55"/>
      <c r="G41" s="79"/>
      <c r="H41" s="165"/>
      <c r="I41" s="87"/>
      <c r="J41" s="102"/>
      <c r="K41" s="74"/>
      <c r="L41" s="60"/>
      <c r="M41" s="80"/>
    </row>
    <row r="42" spans="2:13" ht="19" thickBot="1" x14ac:dyDescent="0.4">
      <c r="B42" s="84"/>
      <c r="C42" s="85"/>
      <c r="D42" s="103"/>
      <c r="E42" s="101"/>
      <c r="F42" s="78"/>
      <c r="G42" s="173" t="e">
        <f>SUM(G36:G40)</f>
        <v>#REF!</v>
      </c>
      <c r="H42" s="173">
        <f>SUM(H36:H40)</f>
        <v>3.1182868900000003</v>
      </c>
      <c r="I42" s="87"/>
      <c r="J42" s="102"/>
      <c r="K42" s="75"/>
      <c r="L42" s="60"/>
      <c r="M42" s="61"/>
    </row>
    <row r="43" spans="2:13" ht="20.25" customHeight="1" thickBot="1" x14ac:dyDescent="0.4">
      <c r="B43" s="106"/>
      <c r="C43" s="107"/>
      <c r="D43" s="91" t="s">
        <v>36</v>
      </c>
      <c r="E43" s="108"/>
      <c r="F43" s="185"/>
      <c r="G43" s="93"/>
      <c r="H43" s="268"/>
      <c r="I43" s="94"/>
      <c r="J43" s="109"/>
      <c r="K43" s="75"/>
      <c r="L43" s="60"/>
      <c r="M43" s="61"/>
    </row>
    <row r="44" spans="2:13" ht="21.75" customHeight="1" x14ac:dyDescent="0.35">
      <c r="B44" s="51">
        <v>86</v>
      </c>
      <c r="C44" s="110">
        <v>86</v>
      </c>
      <c r="D44" s="111" t="s">
        <v>37</v>
      </c>
      <c r="E44" s="275">
        <v>1.5</v>
      </c>
      <c r="F44" s="184">
        <f>M44*M$20/M$83</f>
        <v>0.88199707062344768</v>
      </c>
      <c r="G44" s="56" t="e">
        <f t="shared" si="0"/>
        <v>#REF!</v>
      </c>
      <c r="H44" s="269">
        <v>0.79190760000000004</v>
      </c>
      <c r="I44" s="99">
        <v>16.5</v>
      </c>
      <c r="J44" s="100">
        <v>3.8</v>
      </c>
      <c r="K44" s="177"/>
      <c r="L44" s="60" t="e">
        <f>F44*L$20/E$94</f>
        <v>#REF!</v>
      </c>
      <c r="M44" s="61">
        <v>2.5</v>
      </c>
    </row>
    <row r="45" spans="2:13" ht="15.5" x14ac:dyDescent="0.35">
      <c r="B45" s="62">
        <f>B44+1</f>
        <v>87</v>
      </c>
      <c r="C45" s="112">
        <f>C44+1</f>
        <v>87</v>
      </c>
      <c r="D45" s="113" t="s">
        <v>38</v>
      </c>
      <c r="E45" s="274">
        <v>1.5</v>
      </c>
      <c r="F45" s="55">
        <f>M45*M$20/M$83</f>
        <v>1.4111953129975163</v>
      </c>
      <c r="G45" s="56" t="e">
        <f t="shared" si="0"/>
        <v>#REF!</v>
      </c>
      <c r="H45" s="265">
        <v>1.89514358</v>
      </c>
      <c r="I45" s="87">
        <v>17.600000000000001</v>
      </c>
      <c r="J45" s="88">
        <v>4.3</v>
      </c>
      <c r="K45" s="75"/>
      <c r="L45" s="60" t="e">
        <f>F45*L$20/E$94</f>
        <v>#REF!</v>
      </c>
      <c r="M45" s="61">
        <v>4</v>
      </c>
    </row>
    <row r="46" spans="2:13" ht="18.75" customHeight="1" x14ac:dyDescent="0.35">
      <c r="B46" s="62">
        <f t="shared" ref="B46:C50" si="3">B45+1</f>
        <v>88</v>
      </c>
      <c r="C46" s="112">
        <f t="shared" si="3"/>
        <v>88</v>
      </c>
      <c r="D46" s="114" t="s">
        <v>39</v>
      </c>
      <c r="E46" s="101">
        <v>1.5</v>
      </c>
      <c r="F46" s="55">
        <f>M46*M$20/M$83</f>
        <v>1.0583964847481371</v>
      </c>
      <c r="G46" s="56" t="e">
        <f t="shared" si="0"/>
        <v>#REF!</v>
      </c>
      <c r="H46" s="265">
        <v>0.48859005</v>
      </c>
      <c r="I46" s="87">
        <v>13</v>
      </c>
      <c r="J46" s="102">
        <v>4.0999999999999996</v>
      </c>
      <c r="K46" s="75"/>
      <c r="L46" s="60" t="e">
        <f>F46*L$20/E$94</f>
        <v>#REF!</v>
      </c>
      <c r="M46" s="61">
        <v>3</v>
      </c>
    </row>
    <row r="47" spans="2:13" ht="15.5" x14ac:dyDescent="0.35">
      <c r="B47" s="62">
        <f t="shared" si="3"/>
        <v>89</v>
      </c>
      <c r="C47" s="112">
        <f t="shared" si="3"/>
        <v>89</v>
      </c>
      <c r="D47" s="115" t="s">
        <v>40</v>
      </c>
      <c r="E47" s="65">
        <v>1.27</v>
      </c>
      <c r="F47" s="55">
        <f>M47*M$20/M$83</f>
        <v>0.31751894542444115</v>
      </c>
      <c r="G47" s="56" t="e">
        <f t="shared" si="0"/>
        <v>#REF!</v>
      </c>
      <c r="H47" s="263">
        <v>0.23425502000000001</v>
      </c>
      <c r="I47" s="66">
        <v>17.5</v>
      </c>
      <c r="J47" s="67">
        <v>3.9</v>
      </c>
      <c r="K47" s="75"/>
      <c r="L47" s="60" t="e">
        <f>F47*L$20/E$94</f>
        <v>#REF!</v>
      </c>
      <c r="M47" s="61">
        <v>0.9</v>
      </c>
    </row>
    <row r="48" spans="2:13" ht="15" customHeight="1" x14ac:dyDescent="0.35">
      <c r="B48" s="62">
        <f t="shared" si="3"/>
        <v>90</v>
      </c>
      <c r="C48" s="112">
        <f t="shared" si="3"/>
        <v>90</v>
      </c>
      <c r="D48" s="115" t="s">
        <v>41</v>
      </c>
      <c r="E48" s="65">
        <v>8.5</v>
      </c>
      <c r="F48" s="55">
        <f>M48*M$20/M$83</f>
        <v>2.2931923836209638</v>
      </c>
      <c r="G48" s="181" t="e">
        <f t="shared" si="0"/>
        <v>#REF!</v>
      </c>
      <c r="H48" s="263">
        <v>2.5814987899999999</v>
      </c>
      <c r="I48" s="66">
        <v>14</v>
      </c>
      <c r="J48" s="67">
        <v>4.3</v>
      </c>
      <c r="K48" s="75"/>
      <c r="L48" s="60" t="e">
        <f>F48*L$20/E$94</f>
        <v>#REF!</v>
      </c>
      <c r="M48" s="61">
        <v>6.5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43</v>
      </c>
      <c r="E49" s="275">
        <v>1</v>
      </c>
      <c r="F49" s="184">
        <f>M49*M$20/M$83</f>
        <v>5.2919824237406855E-2</v>
      </c>
      <c r="G49" s="56" t="e">
        <f t="shared" si="0"/>
        <v>#REF!</v>
      </c>
      <c r="H49" s="71">
        <v>0</v>
      </c>
      <c r="I49" s="66">
        <v>20</v>
      </c>
      <c r="J49" s="67">
        <v>0</v>
      </c>
      <c r="K49" s="75" t="s">
        <v>87</v>
      </c>
      <c r="L49" s="60" t="e">
        <f>F49*L$20/E$94</f>
        <v>#REF!</v>
      </c>
      <c r="M49" s="61">
        <v>0.15</v>
      </c>
    </row>
    <row r="50" spans="2:13" ht="19.25" customHeight="1" x14ac:dyDescent="0.35">
      <c r="B50" s="62" t="e">
        <f t="shared" si="3"/>
        <v>#REF!</v>
      </c>
      <c r="C50" s="112" t="e">
        <f t="shared" si="3"/>
        <v>#REF!</v>
      </c>
      <c r="D50" s="183" t="s">
        <v>85</v>
      </c>
      <c r="E50" s="275"/>
      <c r="F50" s="184">
        <f>M50*M$20/M$83</f>
        <v>1.4111953129975163</v>
      </c>
      <c r="G50" s="56" t="e">
        <f t="shared" si="0"/>
        <v>#REF!</v>
      </c>
      <c r="H50" s="159">
        <v>9.6483570000000005E-2</v>
      </c>
      <c r="I50" s="123">
        <v>17.600000000000001</v>
      </c>
      <c r="J50" s="179">
        <v>2.8</v>
      </c>
      <c r="K50" s="74"/>
      <c r="L50" s="60" t="e">
        <f>F50*L$20/E$94</f>
        <v>#REF!</v>
      </c>
      <c r="M50" s="61">
        <v>4</v>
      </c>
    </row>
    <row r="51" spans="2:13" ht="18.5" x14ac:dyDescent="0.35">
      <c r="B51" s="96"/>
      <c r="C51" s="116"/>
      <c r="D51" s="117"/>
      <c r="E51" s="275"/>
      <c r="F51" s="55"/>
      <c r="G51" s="172" t="e">
        <f>SUM(G44:G50)</f>
        <v>#REF!</v>
      </c>
      <c r="H51" s="266"/>
      <c r="I51" s="66"/>
      <c r="J51" s="67"/>
      <c r="K51" s="118"/>
      <c r="L51" s="60"/>
      <c r="M51" s="61"/>
    </row>
    <row r="52" spans="2:13" ht="19" thickBot="1" x14ac:dyDescent="0.4">
      <c r="B52" s="84"/>
      <c r="C52" s="119"/>
      <c r="D52" s="120"/>
      <c r="E52" s="121"/>
      <c r="F52" s="78"/>
      <c r="G52" s="56"/>
      <c r="H52" s="256"/>
      <c r="I52" s="123"/>
      <c r="J52" s="124"/>
      <c r="K52" s="125"/>
      <c r="L52" s="60"/>
      <c r="M52" s="61"/>
    </row>
    <row r="53" spans="2:13" ht="18.75" customHeight="1" thickBot="1" x14ac:dyDescent="0.4">
      <c r="B53" s="106"/>
      <c r="C53" s="107"/>
      <c r="D53" s="226" t="s">
        <v>45</v>
      </c>
      <c r="E53" s="227"/>
      <c r="F53" s="228"/>
      <c r="G53" s="229"/>
      <c r="H53" s="270"/>
      <c r="I53" s="230"/>
      <c r="J53" s="231"/>
      <c r="K53" s="232"/>
      <c r="L53" s="60"/>
      <c r="M53" s="61"/>
    </row>
    <row r="54" spans="2:13" ht="21" customHeight="1" x14ac:dyDescent="0.35">
      <c r="B54" s="51">
        <v>99</v>
      </c>
      <c r="C54" s="52">
        <v>99</v>
      </c>
      <c r="D54" s="208" t="s">
        <v>46</v>
      </c>
      <c r="E54" s="54">
        <v>5</v>
      </c>
      <c r="F54" s="152">
        <f>M54*M$20/M$83</f>
        <v>1.0583964847481371</v>
      </c>
      <c r="G54" s="209" t="e">
        <f>L54</f>
        <v>#REF!</v>
      </c>
      <c r="H54" s="135">
        <v>1.4594059500000001</v>
      </c>
      <c r="I54" s="57">
        <v>20</v>
      </c>
      <c r="J54" s="58">
        <v>3.4</v>
      </c>
      <c r="K54" s="233"/>
      <c r="L54" s="60" t="e">
        <f>F54*L$20/E$94</f>
        <v>#REF!</v>
      </c>
      <c r="M54" s="61">
        <v>3</v>
      </c>
    </row>
    <row r="55" spans="2:13" ht="21" customHeight="1" x14ac:dyDescent="0.35">
      <c r="B55" s="126">
        <v>100</v>
      </c>
      <c r="C55" s="127">
        <v>100</v>
      </c>
      <c r="D55" s="191" t="s">
        <v>47</v>
      </c>
      <c r="E55" s="65">
        <v>5</v>
      </c>
      <c r="F55" s="184">
        <f>M55*M$20/M$83</f>
        <v>1.0583964847481371</v>
      </c>
      <c r="G55" s="273" t="e">
        <f>L55</f>
        <v>#REF!</v>
      </c>
      <c r="H55" s="271">
        <v>0.43106735000000002</v>
      </c>
      <c r="I55" s="192">
        <v>21</v>
      </c>
      <c r="J55" s="100">
        <v>6.4</v>
      </c>
      <c r="K55" s="68"/>
      <c r="L55" s="60" t="e">
        <f>F55*L$20/E$94</f>
        <v>#REF!</v>
      </c>
      <c r="M55" s="61">
        <v>3</v>
      </c>
    </row>
    <row r="56" spans="2:13" ht="21" customHeight="1" x14ac:dyDescent="0.35">
      <c r="B56" s="62">
        <v>101</v>
      </c>
      <c r="C56" s="63">
        <v>101</v>
      </c>
      <c r="D56" s="69" t="s">
        <v>48</v>
      </c>
      <c r="E56" s="65">
        <v>1</v>
      </c>
      <c r="F56" s="184">
        <f>M56*M$20/M$83</f>
        <v>0.17639941412468954</v>
      </c>
      <c r="G56" s="273" t="e">
        <f>L56</f>
        <v>#REF!</v>
      </c>
      <c r="H56" s="271">
        <v>4.188923E-2</v>
      </c>
      <c r="I56" s="192">
        <v>20</v>
      </c>
      <c r="J56" s="100">
        <v>3.9</v>
      </c>
      <c r="K56" s="68"/>
      <c r="L56" s="60" t="e">
        <f>F56*L$20/E$94</f>
        <v>#REF!</v>
      </c>
      <c r="M56" s="61">
        <v>0.5</v>
      </c>
    </row>
    <row r="57" spans="2:13" ht="18.75" customHeight="1" x14ac:dyDescent="0.35">
      <c r="B57" s="84">
        <v>102</v>
      </c>
      <c r="C57" s="85">
        <v>102</v>
      </c>
      <c r="D57" s="104" t="s">
        <v>89</v>
      </c>
      <c r="E57" s="65"/>
      <c r="F57" s="55"/>
      <c r="G57" s="186"/>
      <c r="H57" s="271">
        <v>0</v>
      </c>
      <c r="I57" s="128">
        <v>20</v>
      </c>
      <c r="J57" s="100">
        <v>0</v>
      </c>
      <c r="K57" s="75" t="s">
        <v>44</v>
      </c>
      <c r="L57" s="60" t="e">
        <f>F57*L$20/E$94</f>
        <v>#REF!</v>
      </c>
      <c r="M57" s="61">
        <v>0.5</v>
      </c>
    </row>
    <row r="58" spans="2:13" ht="19" thickBot="1" x14ac:dyDescent="0.4">
      <c r="B58" s="84"/>
      <c r="C58" s="85"/>
      <c r="D58" s="103"/>
      <c r="E58" s="121"/>
      <c r="F58" s="78"/>
      <c r="G58" s="173" t="e">
        <f>SUM(G54:G57)</f>
        <v>#REF!</v>
      </c>
      <c r="H58" s="173">
        <f>SUM(H54:H57)</f>
        <v>1.93236253</v>
      </c>
      <c r="I58" s="123"/>
      <c r="J58" s="124"/>
      <c r="K58" s="125"/>
      <c r="L58" s="60" t="e">
        <f>F58*L$20/E$94</f>
        <v>#REF!</v>
      </c>
      <c r="M58" s="61"/>
    </row>
    <row r="59" spans="2:13" ht="19" thickBot="1" x14ac:dyDescent="0.4">
      <c r="B59" s="237"/>
      <c r="C59" s="252"/>
      <c r="D59" s="251" t="s">
        <v>49</v>
      </c>
      <c r="E59" s="276"/>
      <c r="F59" s="229"/>
      <c r="G59" s="235"/>
      <c r="H59" s="272"/>
      <c r="I59" s="236"/>
      <c r="J59" s="243"/>
      <c r="K59" s="245"/>
      <c r="L59" s="60" t="e">
        <f>F59*L$20/E$94</f>
        <v>#REF!</v>
      </c>
      <c r="M59" s="61"/>
    </row>
    <row r="60" spans="2:13" ht="20" customHeight="1" x14ac:dyDescent="0.35">
      <c r="B60" s="51">
        <v>103</v>
      </c>
      <c r="C60" s="52">
        <v>103</v>
      </c>
      <c r="D60" s="249" t="s">
        <v>50</v>
      </c>
      <c r="E60" s="54">
        <v>2</v>
      </c>
      <c r="F60" s="152">
        <f>M60*M$20/M$83</f>
        <v>1.3053556645227027</v>
      </c>
      <c r="G60" s="238" t="e">
        <f>L60</f>
        <v>#REF!</v>
      </c>
      <c r="H60" s="135">
        <v>1.0726018799999999</v>
      </c>
      <c r="I60" s="57">
        <v>20.100000000000001</v>
      </c>
      <c r="J60" s="136">
        <v>5</v>
      </c>
      <c r="K60" s="247"/>
      <c r="L60" s="60" t="e">
        <f>F60*L$20/E$94</f>
        <v>#REF!</v>
      </c>
      <c r="M60" s="61">
        <v>3.7</v>
      </c>
    </row>
    <row r="61" spans="2:13" ht="20" customHeight="1" x14ac:dyDescent="0.35">
      <c r="B61" s="62">
        <v>104</v>
      </c>
      <c r="C61" s="63">
        <v>104</v>
      </c>
      <c r="D61" s="115" t="s">
        <v>51</v>
      </c>
      <c r="E61" s="65">
        <v>7.5</v>
      </c>
      <c r="F61" s="55">
        <f>M61*M$20/M$83</f>
        <v>3.5279882824937907</v>
      </c>
      <c r="G61" s="56" t="e">
        <f>L61</f>
        <v>#REF!</v>
      </c>
      <c r="H61" s="71">
        <v>2.8515600000000001</v>
      </c>
      <c r="I61" s="66">
        <v>22</v>
      </c>
      <c r="J61" s="139">
        <v>7</v>
      </c>
      <c r="K61" s="118"/>
      <c r="L61" s="60" t="e">
        <f>F61*L$20/E$94</f>
        <v>#REF!</v>
      </c>
      <c r="M61" s="61">
        <v>10</v>
      </c>
    </row>
    <row r="62" spans="2:13" ht="19" thickBot="1" x14ac:dyDescent="0.4">
      <c r="B62" s="129"/>
      <c r="C62" s="130"/>
      <c r="D62" s="250"/>
      <c r="E62" s="149"/>
      <c r="F62" s="239"/>
      <c r="G62" s="257" t="e">
        <f>SUM(G60:G61)</f>
        <v>#REF!</v>
      </c>
      <c r="H62" s="257">
        <f>SUM(H60:H61)</f>
        <v>3.9241618799999998</v>
      </c>
      <c r="I62" s="143"/>
      <c r="J62" s="242"/>
      <c r="K62" s="248"/>
      <c r="L62" s="60"/>
      <c r="M62" s="61"/>
    </row>
    <row r="63" spans="2:13" ht="19" thickBot="1" x14ac:dyDescent="0.4">
      <c r="B63" s="106"/>
      <c r="C63" s="240"/>
      <c r="D63" s="241"/>
      <c r="E63" s="276"/>
      <c r="F63" s="235"/>
      <c r="G63" s="235"/>
      <c r="H63" s="272"/>
      <c r="I63" s="230"/>
      <c r="J63" s="244"/>
      <c r="K63" s="246"/>
      <c r="L63" s="60"/>
      <c r="M63" s="61"/>
    </row>
    <row r="64" spans="2:13" ht="42.75" customHeight="1" thickBot="1" x14ac:dyDescent="0.5">
      <c r="B64" s="13" t="s">
        <v>14</v>
      </c>
      <c r="C64" s="30"/>
      <c r="D64" s="31"/>
      <c r="E64" s="26">
        <f>SUM(E65:E70)</f>
        <v>204</v>
      </c>
      <c r="F64" s="26">
        <f>SUM(F65:F70)</f>
        <v>95.806597465452455</v>
      </c>
      <c r="G64" s="26" t="e">
        <f>SUM(G65:G70)</f>
        <v>#REF!</v>
      </c>
      <c r="H64" s="26">
        <f>SUM(H65:H70)</f>
        <v>89.756</v>
      </c>
      <c r="I64" s="234"/>
      <c r="J64" s="34"/>
      <c r="K64" s="21" t="s">
        <v>52</v>
      </c>
      <c r="L64" s="60"/>
      <c r="M64" s="131"/>
    </row>
    <row r="65" spans="2:13" ht="18.649999999999999" customHeight="1" x14ac:dyDescent="0.35">
      <c r="B65" s="51">
        <v>105</v>
      </c>
      <c r="C65" s="132">
        <v>1</v>
      </c>
      <c r="D65" s="133" t="s">
        <v>53</v>
      </c>
      <c r="E65" s="134">
        <v>120</v>
      </c>
      <c r="F65" s="55">
        <v>50</v>
      </c>
      <c r="G65" s="273">
        <f t="shared" si="0"/>
        <v>50</v>
      </c>
      <c r="H65" s="135">
        <v>38.075000000000003</v>
      </c>
      <c r="I65" s="57">
        <v>25</v>
      </c>
      <c r="J65" s="136">
        <v>24</v>
      </c>
      <c r="K65" s="180" t="s">
        <v>86</v>
      </c>
      <c r="L65" s="60">
        <v>50</v>
      </c>
      <c r="M65" s="61">
        <v>0</v>
      </c>
    </row>
    <row r="66" spans="2:13" ht="18" customHeight="1" x14ac:dyDescent="0.35">
      <c r="B66" s="62">
        <f>B65+1</f>
        <v>106</v>
      </c>
      <c r="C66" s="76">
        <f>C65+1</f>
        <v>2</v>
      </c>
      <c r="D66" s="137" t="s">
        <v>54</v>
      </c>
      <c r="E66" s="138">
        <v>6</v>
      </c>
      <c r="F66" s="55">
        <f>M66*M$20/M$83</f>
        <v>0.28223906259950327</v>
      </c>
      <c r="G66" s="273" t="e">
        <f t="shared" si="0"/>
        <v>#REF!</v>
      </c>
      <c r="H66" s="71">
        <v>0.223</v>
      </c>
      <c r="I66" s="66">
        <v>25</v>
      </c>
      <c r="J66" s="139">
        <v>24</v>
      </c>
      <c r="K66" s="140" t="s">
        <v>55</v>
      </c>
      <c r="L66" s="60" t="e">
        <f>F66*L$20/E$94</f>
        <v>#REF!</v>
      </c>
      <c r="M66" s="61">
        <v>0.8</v>
      </c>
    </row>
    <row r="67" spans="2:13" ht="15.5" x14ac:dyDescent="0.35">
      <c r="B67" s="62">
        <f t="shared" ref="B67:B70" si="4">B66+1</f>
        <v>107</v>
      </c>
      <c r="C67" s="76">
        <v>3</v>
      </c>
      <c r="D67" s="147" t="s">
        <v>56</v>
      </c>
      <c r="E67" s="138"/>
      <c r="F67" s="55">
        <f>M67*M$20/M$83</f>
        <v>0.88199707062344768</v>
      </c>
      <c r="G67" s="273" t="e">
        <f t="shared" si="0"/>
        <v>#REF!</v>
      </c>
      <c r="H67" s="71">
        <v>1.345</v>
      </c>
      <c r="I67" s="66">
        <v>28</v>
      </c>
      <c r="J67" s="139">
        <v>26</v>
      </c>
      <c r="K67" s="140" t="s">
        <v>55</v>
      </c>
      <c r="L67" s="60" t="e">
        <f>F67*L$20/E$94</f>
        <v>#REF!</v>
      </c>
      <c r="M67" s="61">
        <v>2.5</v>
      </c>
    </row>
    <row r="68" spans="2:13" ht="19.25" customHeight="1" x14ac:dyDescent="0.35">
      <c r="B68" s="62">
        <f t="shared" si="4"/>
        <v>108</v>
      </c>
      <c r="C68" s="76">
        <v>4</v>
      </c>
      <c r="D68" s="137" t="s">
        <v>57</v>
      </c>
      <c r="E68" s="138">
        <v>60</v>
      </c>
      <c r="F68" s="55">
        <v>33</v>
      </c>
      <c r="G68" s="273">
        <f t="shared" ref="G68:G82" si="5">L68</f>
        <v>33</v>
      </c>
      <c r="H68" s="71">
        <v>40.475000000000001</v>
      </c>
      <c r="I68" s="66">
        <v>26</v>
      </c>
      <c r="J68" s="139">
        <v>20.8</v>
      </c>
      <c r="K68" s="224" t="s">
        <v>55</v>
      </c>
      <c r="L68" s="60">
        <v>33</v>
      </c>
      <c r="M68" s="61">
        <v>0</v>
      </c>
    </row>
    <row r="69" spans="2:13" ht="15.5" x14ac:dyDescent="0.35">
      <c r="B69" s="62">
        <f t="shared" si="4"/>
        <v>109</v>
      </c>
      <c r="C69" s="76">
        <v>5</v>
      </c>
      <c r="D69" s="141" t="s">
        <v>58</v>
      </c>
      <c r="E69" s="138">
        <v>6</v>
      </c>
      <c r="F69" s="55">
        <f>M69*M$20/M$83</f>
        <v>4.2335859389925483</v>
      </c>
      <c r="G69" s="273" t="e">
        <f t="shared" si="5"/>
        <v>#REF!</v>
      </c>
      <c r="H69" s="71">
        <v>3.7349999999999999</v>
      </c>
      <c r="I69" s="66">
        <v>28</v>
      </c>
      <c r="J69" s="139">
        <v>3.4</v>
      </c>
      <c r="K69" s="140" t="s">
        <v>55</v>
      </c>
      <c r="L69" s="60" t="e">
        <f>F69*L$20/E$94</f>
        <v>#REF!</v>
      </c>
      <c r="M69" s="61">
        <v>12</v>
      </c>
    </row>
    <row r="70" spans="2:13" ht="16" thickBot="1" x14ac:dyDescent="0.4">
      <c r="B70" s="62">
        <f t="shared" si="4"/>
        <v>110</v>
      </c>
      <c r="C70" s="162">
        <v>6</v>
      </c>
      <c r="D70" s="163" t="s">
        <v>59</v>
      </c>
      <c r="E70" s="164">
        <v>12</v>
      </c>
      <c r="F70" s="55">
        <f>M70*M$20/M$83</f>
        <v>7.4087753932369607</v>
      </c>
      <c r="G70" s="190" t="e">
        <f t="shared" si="5"/>
        <v>#REF!</v>
      </c>
      <c r="H70" s="165">
        <v>5.9029999999999996</v>
      </c>
      <c r="I70" s="87">
        <v>26</v>
      </c>
      <c r="J70" s="155">
        <v>4.3</v>
      </c>
      <c r="K70" s="223" t="s">
        <v>55</v>
      </c>
      <c r="L70" s="60" t="e">
        <f>F70*L$20/E$94</f>
        <v>#REF!</v>
      </c>
      <c r="M70" s="61">
        <v>21</v>
      </c>
    </row>
    <row r="71" spans="2:13" ht="49.25" customHeight="1" thickBot="1" x14ac:dyDescent="0.5">
      <c r="B71" s="13" t="s">
        <v>15</v>
      </c>
      <c r="C71" s="30"/>
      <c r="D71" s="31"/>
      <c r="E71" s="16">
        <f>SUM(E72:E76)</f>
        <v>23.2</v>
      </c>
      <c r="F71" s="16">
        <f>SUM(F72:F76)</f>
        <v>10.583964847481372</v>
      </c>
      <c r="G71" s="32" t="e">
        <f>SUM(G72:G76)</f>
        <v>#REF!</v>
      </c>
      <c r="H71" s="32">
        <f>SUM(H72:H76)</f>
        <v>6.4799999999999995</v>
      </c>
      <c r="I71" s="33"/>
      <c r="J71" s="34"/>
      <c r="K71" s="35" t="s">
        <v>84</v>
      </c>
      <c r="L71" s="60"/>
      <c r="M71" s="131"/>
    </row>
    <row r="72" spans="2:13" ht="15.5" x14ac:dyDescent="0.35">
      <c r="B72" s="51">
        <v>111</v>
      </c>
      <c r="C72" s="52">
        <v>1</v>
      </c>
      <c r="D72" s="144" t="s">
        <v>60</v>
      </c>
      <c r="E72" s="54">
        <v>9.6</v>
      </c>
      <c r="F72" s="55">
        <f>M72*M$20/M$83</f>
        <v>1.7639941412468954</v>
      </c>
      <c r="G72" s="56" t="e">
        <f t="shared" si="5"/>
        <v>#REF!</v>
      </c>
      <c r="H72" s="135">
        <v>2.8</v>
      </c>
      <c r="I72" s="57">
        <v>46</v>
      </c>
      <c r="J72" s="58">
        <v>4.3</v>
      </c>
      <c r="K72" s="145" t="s">
        <v>55</v>
      </c>
      <c r="L72" s="60" t="e">
        <f>F72*L$20/E$94</f>
        <v>#REF!</v>
      </c>
      <c r="M72" s="61">
        <v>5</v>
      </c>
    </row>
    <row r="73" spans="2:13" ht="15.5" x14ac:dyDescent="0.35">
      <c r="B73" s="62">
        <f>B72+1</f>
        <v>112</v>
      </c>
      <c r="C73" s="63">
        <f>C72+1</f>
        <v>2</v>
      </c>
      <c r="D73" s="137" t="s">
        <v>61</v>
      </c>
      <c r="E73" s="65">
        <v>5</v>
      </c>
      <c r="F73" s="55">
        <f>M73*M$20/M$83</f>
        <v>2.4695917977456534</v>
      </c>
      <c r="G73" s="56" t="e">
        <f t="shared" si="5"/>
        <v>#REF!</v>
      </c>
      <c r="H73" s="71">
        <v>0.66700000000000004</v>
      </c>
      <c r="I73" s="66">
        <v>40</v>
      </c>
      <c r="J73" s="67">
        <v>8</v>
      </c>
      <c r="K73" s="146" t="s">
        <v>55</v>
      </c>
      <c r="L73" s="60" t="e">
        <f>F73*L$20/E$94</f>
        <v>#REF!</v>
      </c>
      <c r="M73" s="61">
        <v>7</v>
      </c>
    </row>
    <row r="74" spans="2:13" ht="15.5" x14ac:dyDescent="0.35">
      <c r="B74" s="62">
        <f t="shared" ref="B74:C75" si="6">B73+1</f>
        <v>113</v>
      </c>
      <c r="C74" s="63">
        <f t="shared" si="6"/>
        <v>3</v>
      </c>
      <c r="D74" s="137" t="s">
        <v>62</v>
      </c>
      <c r="E74" s="65">
        <v>5.6</v>
      </c>
      <c r="F74" s="55">
        <f>M74*M$20/M$83</f>
        <v>0.52919824237406854</v>
      </c>
      <c r="G74" s="56" t="e">
        <f t="shared" si="5"/>
        <v>#REF!</v>
      </c>
      <c r="H74" s="71">
        <v>0.62</v>
      </c>
      <c r="I74" s="66">
        <v>40</v>
      </c>
      <c r="J74" s="67">
        <v>12</v>
      </c>
      <c r="K74" s="146" t="s">
        <v>55</v>
      </c>
      <c r="L74" s="60" t="e">
        <f>F74*L$20/E$94</f>
        <v>#REF!</v>
      </c>
      <c r="M74" s="61">
        <v>1.5</v>
      </c>
    </row>
    <row r="75" spans="2:13" ht="15.5" x14ac:dyDescent="0.35">
      <c r="B75" s="62">
        <f t="shared" si="6"/>
        <v>114</v>
      </c>
      <c r="C75" s="63">
        <f t="shared" si="6"/>
        <v>4</v>
      </c>
      <c r="D75" s="137" t="s">
        <v>63</v>
      </c>
      <c r="E75" s="65">
        <v>3</v>
      </c>
      <c r="F75" s="55">
        <f>M75*M$20/M$83</f>
        <v>0.52919824237406854</v>
      </c>
      <c r="G75" s="56" t="e">
        <f t="shared" si="5"/>
        <v>#REF!</v>
      </c>
      <c r="H75" s="71">
        <v>0.31900000000000001</v>
      </c>
      <c r="I75" s="66">
        <v>22</v>
      </c>
      <c r="J75" s="67">
        <v>2.9</v>
      </c>
      <c r="K75" s="146" t="s">
        <v>55</v>
      </c>
      <c r="L75" s="60" t="e">
        <f>F75*L$20/E$94</f>
        <v>#REF!</v>
      </c>
      <c r="M75" s="61">
        <v>1.5</v>
      </c>
    </row>
    <row r="76" spans="2:13" ht="16" thickBot="1" x14ac:dyDescent="0.4">
      <c r="B76" s="62" t="e">
        <f>#REF!+1</f>
        <v>#REF!</v>
      </c>
      <c r="C76" s="85">
        <v>13</v>
      </c>
      <c r="D76" s="148" t="s">
        <v>67</v>
      </c>
      <c r="E76" s="149">
        <v>0</v>
      </c>
      <c r="F76" s="55">
        <f>M76*M$20/M$83</f>
        <v>5.2919824237406861</v>
      </c>
      <c r="G76" s="56" t="e">
        <f t="shared" si="5"/>
        <v>#REF!</v>
      </c>
      <c r="H76" s="150">
        <v>2.0739999999999998</v>
      </c>
      <c r="I76" s="143">
        <v>50</v>
      </c>
      <c r="J76" s="151">
        <v>21</v>
      </c>
      <c r="K76" s="225" t="s">
        <v>68</v>
      </c>
      <c r="L76" s="60" t="e">
        <f>F76*L$20/E$94</f>
        <v>#REF!</v>
      </c>
      <c r="M76" s="61">
        <v>15</v>
      </c>
    </row>
    <row r="77" spans="2:13" ht="48" customHeight="1" thickBot="1" x14ac:dyDescent="0.5">
      <c r="B77" s="13" t="s">
        <v>16</v>
      </c>
      <c r="C77" s="30"/>
      <c r="D77" s="36"/>
      <c r="E77" s="16">
        <f>E78+E82+E81</f>
        <v>22.4</v>
      </c>
      <c r="F77" s="37">
        <v>3</v>
      </c>
      <c r="G77" s="37">
        <v>3</v>
      </c>
      <c r="H77" s="37">
        <f>SUM(H78:H82)</f>
        <v>2.4232334899999999</v>
      </c>
      <c r="I77" s="33"/>
      <c r="J77" s="34"/>
      <c r="K77" s="38" t="s">
        <v>69</v>
      </c>
      <c r="L77" s="60"/>
      <c r="M77" s="131"/>
    </row>
    <row r="78" spans="2:13" ht="19.5" customHeight="1" x14ac:dyDescent="0.35">
      <c r="B78" s="51">
        <v>124</v>
      </c>
      <c r="C78" s="52">
        <v>1</v>
      </c>
      <c r="D78" s="133" t="s">
        <v>70</v>
      </c>
      <c r="E78" s="286">
        <v>20.399999999999999</v>
      </c>
      <c r="F78" s="152">
        <v>3</v>
      </c>
      <c r="G78" s="56">
        <v>3</v>
      </c>
      <c r="H78" s="135">
        <v>2.4232334899999999</v>
      </c>
      <c r="I78" s="153">
        <v>45.42</v>
      </c>
      <c r="J78" s="154">
        <v>32.08</v>
      </c>
      <c r="K78" s="176" t="s">
        <v>55</v>
      </c>
      <c r="L78" s="60">
        <v>0</v>
      </c>
      <c r="M78" s="61">
        <v>0</v>
      </c>
    </row>
    <row r="79" spans="2:13" ht="19.5" customHeight="1" x14ac:dyDescent="0.35">
      <c r="B79" s="62">
        <f>B78+1</f>
        <v>125</v>
      </c>
      <c r="C79" s="127">
        <v>2</v>
      </c>
      <c r="D79" s="216" t="s">
        <v>71</v>
      </c>
      <c r="E79" s="287"/>
      <c r="F79" s="122">
        <v>0</v>
      </c>
      <c r="G79" s="220">
        <f>L79</f>
        <v>0</v>
      </c>
      <c r="H79" s="159">
        <v>0</v>
      </c>
      <c r="I79" s="170"/>
      <c r="J79" s="174"/>
      <c r="K79" s="175" t="s">
        <v>64</v>
      </c>
      <c r="L79" s="60"/>
      <c r="M79" s="61"/>
    </row>
    <row r="80" spans="2:13" ht="19.5" customHeight="1" x14ac:dyDescent="0.35">
      <c r="B80" s="62">
        <f t="shared" ref="B80:B82" si="7">B79+1</f>
        <v>126</v>
      </c>
      <c r="C80" s="63">
        <v>3</v>
      </c>
      <c r="D80" s="147" t="s">
        <v>72</v>
      </c>
      <c r="E80" s="285"/>
      <c r="F80" s="55">
        <v>0</v>
      </c>
      <c r="G80" s="181">
        <v>0</v>
      </c>
      <c r="H80" s="71">
        <v>0</v>
      </c>
      <c r="I80" s="217"/>
      <c r="J80" s="221"/>
      <c r="K80" s="218" t="s">
        <v>73</v>
      </c>
      <c r="L80" s="60"/>
      <c r="M80" s="61"/>
    </row>
    <row r="81" spans="2:13" ht="19.5" customHeight="1" x14ac:dyDescent="0.35">
      <c r="B81" s="96">
        <f t="shared" si="7"/>
        <v>127</v>
      </c>
      <c r="C81" s="85">
        <v>4</v>
      </c>
      <c r="D81" s="253" t="s">
        <v>74</v>
      </c>
      <c r="E81" s="277">
        <v>1</v>
      </c>
      <c r="F81" s="78" t="e">
        <f>M81*L20/M83</f>
        <v>#REF!</v>
      </c>
      <c r="G81" s="56" t="e">
        <f>L81</f>
        <v>#REF!</v>
      </c>
      <c r="H81" s="165">
        <v>0</v>
      </c>
      <c r="I81" s="254">
        <f>I78</f>
        <v>45.42</v>
      </c>
      <c r="J81" s="222">
        <v>0</v>
      </c>
      <c r="K81" s="255" t="s">
        <v>27</v>
      </c>
      <c r="L81" s="60" t="e">
        <f>F81*L$20/E$94</f>
        <v>#REF!</v>
      </c>
      <c r="M81" s="61">
        <v>1.5</v>
      </c>
    </row>
    <row r="82" spans="2:13" ht="16" thickBot="1" x14ac:dyDescent="0.4">
      <c r="B82" s="126">
        <f t="shared" si="7"/>
        <v>128</v>
      </c>
      <c r="C82" s="130">
        <v>5</v>
      </c>
      <c r="D82" s="219" t="s">
        <v>75</v>
      </c>
      <c r="E82" s="149">
        <v>1</v>
      </c>
      <c r="F82" s="78" t="e">
        <f>M82*L20/M83</f>
        <v>#REF!</v>
      </c>
      <c r="G82" s="56" t="e">
        <f t="shared" si="5"/>
        <v>#REF!</v>
      </c>
      <c r="H82" s="150">
        <v>0</v>
      </c>
      <c r="I82" s="87"/>
      <c r="J82" s="222"/>
      <c r="K82" s="156" t="s">
        <v>76</v>
      </c>
      <c r="L82" s="60" t="e">
        <f>F82*L$20/E$94</f>
        <v>#REF!</v>
      </c>
      <c r="M82" s="61">
        <v>0.5</v>
      </c>
    </row>
    <row r="83" spans="2:13" ht="19" thickBot="1" x14ac:dyDescent="0.4">
      <c r="B83" s="288" t="s">
        <v>17</v>
      </c>
      <c r="C83" s="289"/>
      <c r="D83" s="290"/>
      <c r="E83" s="39">
        <f>SUM(E26:E58)+SUM(E65:E70)+SUM(E72:E76)+SUM(E78:E82)</f>
        <v>684.87</v>
      </c>
      <c r="F83" s="40" t="e">
        <f>SUM(F26:F50)+SUM(F54:F57)+SUM(F65:F70)+SUM(F72:F76)+SUM(F78:F82)</f>
        <v>#REF!</v>
      </c>
      <c r="G83" s="40" t="e">
        <f>SUM(G25,G64,G71,G77)</f>
        <v>#REF!</v>
      </c>
      <c r="H83" s="39">
        <f>H25+H64+H71+H77</f>
        <v>283.4801157</v>
      </c>
      <c r="I83" s="291"/>
      <c r="J83" s="292"/>
      <c r="K83" s="187">
        <f>H11-G11</f>
        <v>-77.519884300000001</v>
      </c>
      <c r="L83" s="60"/>
      <c r="M83" s="131">
        <f>SUM(M26:M82)</f>
        <v>785.15000000000009</v>
      </c>
    </row>
    <row r="84" spans="2:13" ht="19" thickBot="1" x14ac:dyDescent="0.5">
      <c r="B84" s="1"/>
      <c r="C84" s="1"/>
      <c r="D84" s="41"/>
      <c r="E84" s="178"/>
      <c r="F84" s="42"/>
      <c r="G84" s="42"/>
      <c r="H84" s="169"/>
      <c r="I84" s="43"/>
      <c r="J84" s="43"/>
      <c r="K84" s="1"/>
      <c r="L84" s="60"/>
    </row>
    <row r="85" spans="2:13" ht="23.25" customHeight="1" thickBot="1" x14ac:dyDescent="0.4">
      <c r="B85" s="278" t="s">
        <v>18</v>
      </c>
      <c r="C85" s="279"/>
      <c r="D85" s="280"/>
      <c r="E85" s="193">
        <f>SUM(E86:E90)</f>
        <v>312</v>
      </c>
      <c r="F85" s="193">
        <f>SUM(F86:F90)</f>
        <v>103.51373756000001</v>
      </c>
      <c r="G85" s="193">
        <f t="shared" ref="G85:H85" si="8">SUM(G86:G90)</f>
        <v>76.51373756000001</v>
      </c>
      <c r="H85" s="193">
        <f t="shared" si="8"/>
        <v>38.009195309999996</v>
      </c>
      <c r="I85" s="194"/>
      <c r="J85" s="195"/>
      <c r="K85" s="196" t="s">
        <v>77</v>
      </c>
      <c r="L85" s="60"/>
    </row>
    <row r="86" spans="2:13" ht="15.5" x14ac:dyDescent="0.35">
      <c r="B86" s="51">
        <v>129</v>
      </c>
      <c r="C86" s="200">
        <v>1</v>
      </c>
      <c r="D86" s="201" t="s">
        <v>78</v>
      </c>
      <c r="E86" s="157">
        <v>5</v>
      </c>
      <c r="F86" s="158">
        <v>4.4107375600000003</v>
      </c>
      <c r="G86" s="158">
        <v>4.4107375600000003</v>
      </c>
      <c r="H86" s="135">
        <v>11.382999999999999</v>
      </c>
      <c r="I86" s="153">
        <v>42.75</v>
      </c>
      <c r="J86" s="153">
        <f>I86</f>
        <v>42.75</v>
      </c>
      <c r="K86" s="202" t="s">
        <v>55</v>
      </c>
      <c r="L86" s="60"/>
    </row>
    <row r="87" spans="2:13" ht="15.5" x14ac:dyDescent="0.35">
      <c r="B87" s="62">
        <f>B86+1</f>
        <v>130</v>
      </c>
      <c r="C87" s="197">
        <v>2</v>
      </c>
      <c r="D87" s="198" t="s">
        <v>79</v>
      </c>
      <c r="E87" s="160">
        <v>100</v>
      </c>
      <c r="F87" s="161">
        <v>57.103000000000002</v>
      </c>
      <c r="G87" s="161">
        <v>57.103000000000002</v>
      </c>
      <c r="H87" s="71">
        <v>11.62619531</v>
      </c>
      <c r="I87" s="66"/>
      <c r="J87" s="66"/>
      <c r="K87" s="203" t="s">
        <v>55</v>
      </c>
      <c r="L87" s="60"/>
    </row>
    <row r="88" spans="2:13" ht="15.5" x14ac:dyDescent="0.35">
      <c r="B88" s="62">
        <f t="shared" ref="B88:B90" si="9">B87+1</f>
        <v>131</v>
      </c>
      <c r="C88" s="197">
        <v>3</v>
      </c>
      <c r="D88" s="199" t="s">
        <v>80</v>
      </c>
      <c r="E88" s="70">
        <v>27</v>
      </c>
      <c r="F88" s="70">
        <v>12</v>
      </c>
      <c r="G88" s="70">
        <v>12</v>
      </c>
      <c r="H88" s="71">
        <v>12</v>
      </c>
      <c r="I88" s="66" t="e">
        <f>#REF!</f>
        <v>#REF!</v>
      </c>
      <c r="J88" s="66" t="e">
        <f>#REF!</f>
        <v>#REF!</v>
      </c>
      <c r="K88" s="204" t="s">
        <v>55</v>
      </c>
      <c r="L88" s="60"/>
    </row>
    <row r="89" spans="2:13" ht="15.5" x14ac:dyDescent="0.35">
      <c r="B89" s="62">
        <f t="shared" si="9"/>
        <v>132</v>
      </c>
      <c r="C89" s="197">
        <v>4</v>
      </c>
      <c r="D89" s="199" t="s">
        <v>81</v>
      </c>
      <c r="E89" s="70">
        <v>60</v>
      </c>
      <c r="F89" s="70">
        <v>30</v>
      </c>
      <c r="G89" s="70">
        <v>3</v>
      </c>
      <c r="H89" s="71">
        <v>3</v>
      </c>
      <c r="I89" s="66">
        <f>I68</f>
        <v>26</v>
      </c>
      <c r="J89" s="66">
        <f>J68</f>
        <v>20.8</v>
      </c>
      <c r="K89" s="204" t="s">
        <v>55</v>
      </c>
      <c r="L89" s="60"/>
    </row>
    <row r="90" spans="2:13" ht="16" thickBot="1" x14ac:dyDescent="0.4">
      <c r="B90" s="62">
        <f t="shared" si="9"/>
        <v>133</v>
      </c>
      <c r="C90" s="205">
        <v>5</v>
      </c>
      <c r="D90" s="206" t="s">
        <v>82</v>
      </c>
      <c r="E90" s="142">
        <v>120</v>
      </c>
      <c r="F90" s="142">
        <v>0</v>
      </c>
      <c r="G90" s="142">
        <f>F90</f>
        <v>0</v>
      </c>
      <c r="H90" s="150">
        <v>0</v>
      </c>
      <c r="I90" s="143">
        <f>I65</f>
        <v>25</v>
      </c>
      <c r="J90" s="143">
        <f>J65</f>
        <v>24</v>
      </c>
      <c r="K90" s="207" t="s">
        <v>55</v>
      </c>
      <c r="L90" s="60"/>
    </row>
    <row r="91" spans="2:13" ht="15" thickBot="1" x14ac:dyDescent="0.4">
      <c r="B91" s="1"/>
      <c r="C91" s="1"/>
      <c r="D91" s="43"/>
      <c r="E91" s="178"/>
      <c r="F91" s="46"/>
      <c r="G91" s="46"/>
      <c r="I91" s="1"/>
      <c r="J91" s="1"/>
      <c r="K91" s="47"/>
      <c r="L91" s="7"/>
    </row>
    <row r="92" spans="2:13" ht="21.5" thickBot="1" x14ac:dyDescent="0.4">
      <c r="B92" s="281" t="s">
        <v>19</v>
      </c>
      <c r="C92" s="282"/>
      <c r="D92" s="282"/>
      <c r="E92" s="48"/>
      <c r="F92" s="49"/>
      <c r="G92" s="49"/>
      <c r="H92" s="50">
        <f>H87+H28</f>
        <v>21.62619531</v>
      </c>
      <c r="I92" s="1"/>
      <c r="J92" s="1"/>
      <c r="K92" s="1"/>
      <c r="L92" s="7"/>
    </row>
    <row r="93" spans="2:13" x14ac:dyDescent="0.35">
      <c r="L93" s="7"/>
    </row>
    <row r="94" spans="2:13" ht="15" hidden="1" customHeight="1" x14ac:dyDescent="0.35">
      <c r="D94" t="s">
        <v>83</v>
      </c>
      <c r="E94" s="166">
        <f>G20-G28-G65-G68</f>
        <v>277</v>
      </c>
      <c r="G94" s="167" t="e">
        <f>F83-(F78+#REF!+F28+F65+F68+#REF!)</f>
        <v>#REF!</v>
      </c>
      <c r="L94" s="7"/>
    </row>
  </sheetData>
  <mergeCells count="32">
    <mergeCell ref="B85:D85"/>
    <mergeCell ref="B92:D92"/>
    <mergeCell ref="K23:K24"/>
    <mergeCell ref="E78:E80"/>
    <mergeCell ref="B83:D83"/>
    <mergeCell ref="I83:J83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94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361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444.77</v>
      </c>
      <c r="F7" s="17">
        <f>F25</f>
        <v>249.04183913901804</v>
      </c>
      <c r="G7" s="18" t="e">
        <f>G25</f>
        <v>#REF!</v>
      </c>
      <c r="H7" s="259">
        <f>H25</f>
        <v>186.28349256999996</v>
      </c>
      <c r="I7" s="19"/>
      <c r="J7" s="20"/>
      <c r="K7" s="21" t="str">
        <f>K25</f>
        <v>92 Stations on stream, 4 on shutdown, 8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E64</f>
        <v>204</v>
      </c>
      <c r="F8" s="25">
        <f>F64</f>
        <v>95.113099407756494</v>
      </c>
      <c r="G8" s="26" t="e">
        <f>G64</f>
        <v>#REF!</v>
      </c>
      <c r="H8" s="260">
        <f>H64</f>
        <v>93.406999999999996</v>
      </c>
      <c r="I8" s="27"/>
      <c r="J8" s="28"/>
      <c r="K8" s="29" t="str">
        <f>K64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E71</f>
        <v>23.2</v>
      </c>
      <c r="F9" s="16">
        <f>F71</f>
        <v>10.010825956823535</v>
      </c>
      <c r="G9" s="32" t="e">
        <f>G71</f>
        <v>#REF!</v>
      </c>
      <c r="H9" s="261">
        <f>H71</f>
        <v>6.8490000000000002</v>
      </c>
      <c r="I9" s="33"/>
      <c r="J9" s="34"/>
      <c r="K9" s="35" t="str">
        <f>K71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E77</f>
        <v>22.4</v>
      </c>
      <c r="F10" s="37">
        <f>F77</f>
        <v>3</v>
      </c>
      <c r="G10" s="37">
        <f>G77</f>
        <v>3</v>
      </c>
      <c r="H10" s="262">
        <f>H77</f>
        <v>2.2443500699999999</v>
      </c>
      <c r="I10" s="33"/>
      <c r="J10" s="34"/>
      <c r="K10" s="38" t="str">
        <f>K77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694.37</v>
      </c>
      <c r="F11" s="40">
        <f>G20+F10</f>
        <v>358</v>
      </c>
      <c r="G11" s="40">
        <f>E20+G10</f>
        <v>361</v>
      </c>
      <c r="H11" s="188">
        <f>SUM(H7:H10)</f>
        <v>288.78384263999993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101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E85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H85</f>
        <v>33.45502793</v>
      </c>
      <c r="I14" s="44"/>
      <c r="J14" s="45"/>
      <c r="K14" s="21" t="str">
        <f>K85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H92</f>
        <v>16.972027929999999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358</v>
      </c>
      <c r="F20" s="171" t="s">
        <v>21</v>
      </c>
      <c r="G20" s="4">
        <v>355</v>
      </c>
      <c r="H20" s="258"/>
      <c r="I20" s="1"/>
      <c r="J20" s="5" t="s">
        <v>1</v>
      </c>
      <c r="K20" s="6"/>
      <c r="L20" s="7" t="e">
        <f>E20-F28-F65-F68-#REF!</f>
        <v>#REF!</v>
      </c>
      <c r="M20" s="7">
        <f>G20-F28-F65-F68</f>
        <v>262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SUM(E26:E61)</f>
        <v>444.77</v>
      </c>
      <c r="F25" s="17">
        <f>SUM(F26:F61)</f>
        <v>249.04183913901804</v>
      </c>
      <c r="G25" s="18" t="e">
        <f>G33+G42+G51+G58+G62</f>
        <v>#REF!</v>
      </c>
      <c r="H25" s="18">
        <f>SUM(H26:H31)+SUM(H36:H40)+SUM(H44:H50)+SUM(H54:H57)+SUM(H60:H61)</f>
        <v>186.28349256999996</v>
      </c>
      <c r="I25" s="19"/>
      <c r="J25" s="20"/>
      <c r="K25" s="21" t="s">
        <v>100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M26*M$20/M$83</f>
        <v>76.082277271858871</v>
      </c>
      <c r="G26" s="56" t="e">
        <f>L26</f>
        <v>#REF!</v>
      </c>
      <c r="H26" s="263">
        <v>53.65</v>
      </c>
      <c r="I26" s="57">
        <v>18.7</v>
      </c>
      <c r="J26" s="58">
        <v>14.6</v>
      </c>
      <c r="K26" s="59"/>
      <c r="L26" s="60" t="e">
        <f>F26*L$20/E$94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M27*M$20/M$83</f>
        <v>14.348850538113735</v>
      </c>
      <c r="G27" s="56" t="e">
        <f t="shared" ref="G27:G67" si="0">L27</f>
        <v>#REF!</v>
      </c>
      <c r="H27" s="263">
        <v>11.55129925</v>
      </c>
      <c r="I27" s="66">
        <v>23</v>
      </c>
      <c r="J27" s="67">
        <v>9.6999999999999993</v>
      </c>
      <c r="K27" s="68"/>
      <c r="L27" s="60" t="e">
        <f>F27*L$20/E$94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M29*M$20/M$83</f>
        <v>0.40043303827294141</v>
      </c>
      <c r="G29" s="56" t="e">
        <f t="shared" si="0"/>
        <v>#REF!</v>
      </c>
      <c r="H29" s="263">
        <v>9.1370000000000007E-2</v>
      </c>
      <c r="I29" s="66">
        <v>25</v>
      </c>
      <c r="J29" s="67">
        <v>16.600000000000001</v>
      </c>
      <c r="K29" s="75"/>
      <c r="L29" s="60" t="e">
        <f>F29*L$20/E$94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M30*M$20/M$83</f>
        <v>38.374832834490221</v>
      </c>
      <c r="G30" s="56" t="e">
        <f>L30</f>
        <v>#REF!</v>
      </c>
      <c r="H30" s="263">
        <v>29.234031359999999</v>
      </c>
      <c r="I30" s="66">
        <v>22</v>
      </c>
      <c r="J30" s="67">
        <v>14.3</v>
      </c>
      <c r="K30" s="68"/>
      <c r="L30" s="60" t="e">
        <f>F30*L$20/E$94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M31*M$20/M$83</f>
        <v>93.434375597019667</v>
      </c>
      <c r="G31" s="56" t="e">
        <f t="shared" si="0"/>
        <v>#REF!</v>
      </c>
      <c r="H31" s="263">
        <v>67.638999999999996</v>
      </c>
      <c r="I31" s="66">
        <v>17.899999999999999</v>
      </c>
      <c r="J31" s="67" t="s">
        <v>97</v>
      </c>
      <c r="K31" s="68"/>
      <c r="L31" s="60" t="e">
        <f>F31*L$20/E$94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172.16570060999999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M36*M$20/M$83</f>
        <v>1.6684709928039225</v>
      </c>
      <c r="G36" s="56" t="e">
        <f t="shared" si="0"/>
        <v>#REF!</v>
      </c>
      <c r="H36" s="263">
        <v>2.4774638699999998</v>
      </c>
      <c r="I36" s="99">
        <v>22</v>
      </c>
      <c r="J36" s="100">
        <v>22</v>
      </c>
      <c r="K36" s="75"/>
      <c r="L36" s="60" t="e">
        <f>F36*L$20/E$94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M37*M$20/M$83</f>
        <v>0.23358593899254915</v>
      </c>
      <c r="G37" s="56" t="e">
        <f t="shared" si="0"/>
        <v>#REF!</v>
      </c>
      <c r="H37" s="263">
        <v>0.23202490000000001</v>
      </c>
      <c r="I37" s="66">
        <v>22</v>
      </c>
      <c r="J37" s="67">
        <v>3.5</v>
      </c>
      <c r="K37" s="75"/>
      <c r="L37" s="60" t="e">
        <f>F37*L$20/E$94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M38*M$20/M$83</f>
        <v>0.23358593899254915</v>
      </c>
      <c r="G38" s="56" t="e">
        <f t="shared" si="0"/>
        <v>#REF!</v>
      </c>
      <c r="H38" s="263">
        <v>0.19815335000000001</v>
      </c>
      <c r="I38" s="66">
        <v>22</v>
      </c>
      <c r="J38" s="67">
        <v>3</v>
      </c>
      <c r="K38" s="75"/>
      <c r="L38" s="60" t="e">
        <f>F38*L$20/E$94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M39*M$20/M$83</f>
        <v>0.33369419856078453</v>
      </c>
      <c r="G39" s="56" t="e">
        <f t="shared" si="0"/>
        <v>#REF!</v>
      </c>
      <c r="H39" s="264">
        <v>0.2878154</v>
      </c>
      <c r="I39" s="66">
        <v>22</v>
      </c>
      <c r="J39" s="67">
        <v>3.8</v>
      </c>
      <c r="K39" s="75"/>
      <c r="L39" s="60" t="e">
        <f>F39*L$20/E$94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M40*M$20/M$83</f>
        <v>0.16684709928039226</v>
      </c>
      <c r="G40" s="56" t="e">
        <f t="shared" si="0"/>
        <v>#REF!</v>
      </c>
      <c r="H40" s="263">
        <v>7.4761510000000003E-2</v>
      </c>
      <c r="I40" s="66">
        <v>22</v>
      </c>
      <c r="J40" s="67">
        <v>3.5</v>
      </c>
      <c r="K40" s="75"/>
      <c r="L40" s="60" t="e">
        <f>F40*L$20/E$94</f>
        <v>#REF!</v>
      </c>
      <c r="M40" s="61">
        <v>0.5</v>
      </c>
    </row>
    <row r="41" spans="2:13" ht="15.5" x14ac:dyDescent="0.35">
      <c r="B41" s="62"/>
      <c r="C41" s="85"/>
      <c r="D41" s="104"/>
      <c r="E41" s="105"/>
      <c r="F41" s="55"/>
      <c r="G41" s="79"/>
      <c r="H41" s="165"/>
      <c r="I41" s="87"/>
      <c r="J41" s="102"/>
      <c r="K41" s="74"/>
      <c r="L41" s="60"/>
      <c r="M41" s="80"/>
    </row>
    <row r="42" spans="2:13" ht="19" thickBot="1" x14ac:dyDescent="0.4">
      <c r="B42" s="84"/>
      <c r="C42" s="85"/>
      <c r="D42" s="103"/>
      <c r="E42" s="101"/>
      <c r="F42" s="78"/>
      <c r="G42" s="173" t="e">
        <f>SUM(G36:G40)</f>
        <v>#REF!</v>
      </c>
      <c r="H42" s="173">
        <f>SUM(H36:H40)</f>
        <v>3.2702190299999998</v>
      </c>
      <c r="I42" s="87"/>
      <c r="J42" s="102"/>
      <c r="K42" s="75"/>
      <c r="L42" s="60"/>
      <c r="M42" s="61"/>
    </row>
    <row r="43" spans="2:13" ht="20.25" customHeight="1" thickBot="1" x14ac:dyDescent="0.4">
      <c r="B43" s="106"/>
      <c r="C43" s="107"/>
      <c r="D43" s="91" t="s">
        <v>36</v>
      </c>
      <c r="E43" s="108"/>
      <c r="F43" s="185"/>
      <c r="G43" s="93"/>
      <c r="H43" s="268"/>
      <c r="I43" s="94"/>
      <c r="J43" s="109"/>
      <c r="K43" s="75"/>
      <c r="L43" s="60"/>
      <c r="M43" s="61"/>
    </row>
    <row r="44" spans="2:13" ht="21.75" customHeight="1" x14ac:dyDescent="0.35">
      <c r="B44" s="51">
        <v>86</v>
      </c>
      <c r="C44" s="110">
        <v>86</v>
      </c>
      <c r="D44" s="111" t="s">
        <v>37</v>
      </c>
      <c r="E44" s="275">
        <v>1.5</v>
      </c>
      <c r="F44" s="184">
        <f>M44*M$20/M$83</f>
        <v>0.83423549640196126</v>
      </c>
      <c r="G44" s="56" t="e">
        <f t="shared" si="0"/>
        <v>#REF!</v>
      </c>
      <c r="H44" s="269">
        <v>0.76332270000000002</v>
      </c>
      <c r="I44" s="99">
        <v>16.5</v>
      </c>
      <c r="J44" s="100">
        <v>3.8</v>
      </c>
      <c r="K44" s="177"/>
      <c r="L44" s="60" t="e">
        <f>F44*L$20/E$94</f>
        <v>#REF!</v>
      </c>
      <c r="M44" s="61">
        <v>2.5</v>
      </c>
    </row>
    <row r="45" spans="2:13" ht="15.5" x14ac:dyDescent="0.35">
      <c r="B45" s="62">
        <f>B44+1</f>
        <v>87</v>
      </c>
      <c r="C45" s="112">
        <f>C44+1</f>
        <v>87</v>
      </c>
      <c r="D45" s="113" t="s">
        <v>38</v>
      </c>
      <c r="E45" s="274">
        <v>1.5</v>
      </c>
      <c r="F45" s="55">
        <f>M45*M$20/M$83</f>
        <v>1.3347767942431381</v>
      </c>
      <c r="G45" s="56" t="e">
        <f t="shared" si="0"/>
        <v>#REF!</v>
      </c>
      <c r="H45" s="265">
        <v>1.15144212</v>
      </c>
      <c r="I45" s="87">
        <v>16.5</v>
      </c>
      <c r="J45" s="88">
        <v>4.3</v>
      </c>
      <c r="K45" s="75"/>
      <c r="L45" s="60" t="e">
        <f>F45*L$20/E$94</f>
        <v>#REF!</v>
      </c>
      <c r="M45" s="61">
        <v>4</v>
      </c>
    </row>
    <row r="46" spans="2:13" ht="18.75" customHeight="1" x14ac:dyDescent="0.35">
      <c r="B46" s="62">
        <f t="shared" ref="B46:C50" si="3">B45+1</f>
        <v>88</v>
      </c>
      <c r="C46" s="112">
        <f t="shared" si="3"/>
        <v>88</v>
      </c>
      <c r="D46" s="114" t="s">
        <v>39</v>
      </c>
      <c r="E46" s="101">
        <v>1.5</v>
      </c>
      <c r="F46" s="55">
        <f>M46*M$20/M$83</f>
        <v>1.0010825956823535</v>
      </c>
      <c r="G46" s="56" t="e">
        <f t="shared" si="0"/>
        <v>#REF!</v>
      </c>
      <c r="H46" s="265">
        <v>0.45121793999999998</v>
      </c>
      <c r="I46" s="87">
        <v>13</v>
      </c>
      <c r="J46" s="102">
        <v>4.0999999999999996</v>
      </c>
      <c r="K46" s="75"/>
      <c r="L46" s="60" t="e">
        <f>F46*L$20/E$94</f>
        <v>#REF!</v>
      </c>
      <c r="M46" s="61">
        <v>3</v>
      </c>
    </row>
    <row r="47" spans="2:13" ht="15.5" x14ac:dyDescent="0.35">
      <c r="B47" s="62">
        <f t="shared" si="3"/>
        <v>89</v>
      </c>
      <c r="C47" s="112">
        <f t="shared" si="3"/>
        <v>89</v>
      </c>
      <c r="D47" s="115" t="s">
        <v>40</v>
      </c>
      <c r="E47" s="65">
        <v>1.27</v>
      </c>
      <c r="F47" s="55">
        <f>M47*M$20/M$83</f>
        <v>0.30032477870470609</v>
      </c>
      <c r="G47" s="56" t="e">
        <f t="shared" si="0"/>
        <v>#REF!</v>
      </c>
      <c r="H47" s="263">
        <v>0.18569598000000001</v>
      </c>
      <c r="I47" s="66">
        <v>17.5</v>
      </c>
      <c r="J47" s="67">
        <v>3.9</v>
      </c>
      <c r="K47" s="75"/>
      <c r="L47" s="60" t="e">
        <f>F47*L$20/E$94</f>
        <v>#REF!</v>
      </c>
      <c r="M47" s="61">
        <v>0.9</v>
      </c>
    </row>
    <row r="48" spans="2:13" ht="15" customHeight="1" x14ac:dyDescent="0.35">
      <c r="B48" s="62">
        <f t="shared" si="3"/>
        <v>90</v>
      </c>
      <c r="C48" s="112">
        <f t="shared" si="3"/>
        <v>90</v>
      </c>
      <c r="D48" s="115" t="s">
        <v>41</v>
      </c>
      <c r="E48" s="65">
        <v>8.5</v>
      </c>
      <c r="F48" s="55">
        <f>M48*M$20/M$83</f>
        <v>2.1690122906450995</v>
      </c>
      <c r="G48" s="181" t="e">
        <f t="shared" si="0"/>
        <v>#REF!</v>
      </c>
      <c r="H48" s="263">
        <v>2.6227880899999998</v>
      </c>
      <c r="I48" s="66">
        <v>14</v>
      </c>
      <c r="J48" s="67">
        <v>4.3</v>
      </c>
      <c r="K48" s="75"/>
      <c r="L48" s="60" t="e">
        <f>F48*L$20/E$94</f>
        <v>#REF!</v>
      </c>
      <c r="M48" s="61">
        <v>6.5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43</v>
      </c>
      <c r="E49" s="275">
        <v>1</v>
      </c>
      <c r="F49" s="184">
        <f>M49*M$20/M$83</f>
        <v>5.0054129784117676E-2</v>
      </c>
      <c r="G49" s="56" t="e">
        <f t="shared" si="0"/>
        <v>#REF!</v>
      </c>
      <c r="H49" s="71">
        <v>0</v>
      </c>
      <c r="I49" s="66">
        <v>20</v>
      </c>
      <c r="J49" s="67">
        <v>0</v>
      </c>
      <c r="K49" s="75" t="s">
        <v>87</v>
      </c>
      <c r="L49" s="60" t="e">
        <f>F49*L$20/E$94</f>
        <v>#REF!</v>
      </c>
      <c r="M49" s="61">
        <v>0.15</v>
      </c>
    </row>
    <row r="50" spans="2:13" ht="19.25" customHeight="1" x14ac:dyDescent="0.35">
      <c r="B50" s="62" t="e">
        <f t="shared" si="3"/>
        <v>#REF!</v>
      </c>
      <c r="C50" s="112" t="e">
        <f t="shared" si="3"/>
        <v>#REF!</v>
      </c>
      <c r="D50" s="183" t="s">
        <v>85</v>
      </c>
      <c r="E50" s="275"/>
      <c r="F50" s="184">
        <f>M50*M$20/M$83</f>
        <v>1.3347767942431381</v>
      </c>
      <c r="G50" s="56" t="e">
        <f t="shared" si="0"/>
        <v>#REF!</v>
      </c>
      <c r="H50" s="159">
        <v>0.10638876</v>
      </c>
      <c r="I50" s="123">
        <v>17.8</v>
      </c>
      <c r="J50" s="179">
        <v>2.8</v>
      </c>
      <c r="K50" s="74"/>
      <c r="L50" s="60" t="e">
        <f>F50*L$20/E$94</f>
        <v>#REF!</v>
      </c>
      <c r="M50" s="61">
        <v>4</v>
      </c>
    </row>
    <row r="51" spans="2:13" ht="18.5" x14ac:dyDescent="0.35">
      <c r="B51" s="96"/>
      <c r="C51" s="116"/>
      <c r="D51" s="117"/>
      <c r="E51" s="275"/>
      <c r="F51" s="55"/>
      <c r="G51" s="172" t="e">
        <f>SUM(G44:G50)</f>
        <v>#REF!</v>
      </c>
      <c r="H51" s="266"/>
      <c r="I51" s="66"/>
      <c r="J51" s="67"/>
      <c r="K51" s="118"/>
      <c r="L51" s="60"/>
      <c r="M51" s="61"/>
    </row>
    <row r="52" spans="2:13" ht="19" thickBot="1" x14ac:dyDescent="0.4">
      <c r="B52" s="84"/>
      <c r="C52" s="119"/>
      <c r="D52" s="120"/>
      <c r="E52" s="121"/>
      <c r="F52" s="78"/>
      <c r="G52" s="56"/>
      <c r="H52" s="256"/>
      <c r="I52" s="123"/>
      <c r="J52" s="124"/>
      <c r="K52" s="125"/>
      <c r="L52" s="60"/>
      <c r="M52" s="61"/>
    </row>
    <row r="53" spans="2:13" ht="18.75" customHeight="1" thickBot="1" x14ac:dyDescent="0.4">
      <c r="B53" s="106"/>
      <c r="C53" s="107"/>
      <c r="D53" s="226" t="s">
        <v>45</v>
      </c>
      <c r="E53" s="227"/>
      <c r="F53" s="228"/>
      <c r="G53" s="229"/>
      <c r="H53" s="270"/>
      <c r="I53" s="230"/>
      <c r="J53" s="231"/>
      <c r="K53" s="232"/>
      <c r="L53" s="60"/>
      <c r="M53" s="61"/>
    </row>
    <row r="54" spans="2:13" ht="21" customHeight="1" x14ac:dyDescent="0.35">
      <c r="B54" s="51">
        <v>99</v>
      </c>
      <c r="C54" s="52">
        <v>99</v>
      </c>
      <c r="D54" s="208" t="s">
        <v>46</v>
      </c>
      <c r="E54" s="54">
        <v>5</v>
      </c>
      <c r="F54" s="152">
        <f>M54*M$20/M$83</f>
        <v>1.0010825956823535</v>
      </c>
      <c r="G54" s="209" t="e">
        <f>L54</f>
        <v>#REF!</v>
      </c>
      <c r="H54" s="135">
        <v>1.4795516</v>
      </c>
      <c r="I54" s="57">
        <v>20</v>
      </c>
      <c r="J54" s="58">
        <v>3.4</v>
      </c>
      <c r="K54" s="233"/>
      <c r="L54" s="60" t="e">
        <f>F54*L$20/E$94</f>
        <v>#REF!</v>
      </c>
      <c r="M54" s="61">
        <v>3</v>
      </c>
    </row>
    <row r="55" spans="2:13" ht="21" customHeight="1" x14ac:dyDescent="0.35">
      <c r="B55" s="126">
        <v>100</v>
      </c>
      <c r="C55" s="127">
        <v>100</v>
      </c>
      <c r="D55" s="191" t="s">
        <v>47</v>
      </c>
      <c r="E55" s="65">
        <v>5</v>
      </c>
      <c r="F55" s="184">
        <f>M55*M$20/M$83</f>
        <v>1.0010825956823535</v>
      </c>
      <c r="G55" s="273" t="e">
        <f>L55</f>
        <v>#REF!</v>
      </c>
      <c r="H55" s="271">
        <v>0.38547267000000002</v>
      </c>
      <c r="I55" s="192">
        <v>21.5</v>
      </c>
      <c r="J55" s="100">
        <v>6.4</v>
      </c>
      <c r="K55" s="68"/>
      <c r="L55" s="60" t="e">
        <f>F55*L$20/E$94</f>
        <v>#REF!</v>
      </c>
      <c r="M55" s="61">
        <v>3</v>
      </c>
    </row>
    <row r="56" spans="2:13" ht="21" customHeight="1" x14ac:dyDescent="0.35">
      <c r="B56" s="62">
        <v>101</v>
      </c>
      <c r="C56" s="63">
        <v>101</v>
      </c>
      <c r="D56" s="69" t="s">
        <v>48</v>
      </c>
      <c r="E56" s="65">
        <v>1</v>
      </c>
      <c r="F56" s="184">
        <f>M56*M$20/M$83</f>
        <v>0.16684709928039226</v>
      </c>
      <c r="G56" s="273" t="e">
        <f>L56</f>
        <v>#REF!</v>
      </c>
      <c r="H56" s="271">
        <v>4.499475E-2</v>
      </c>
      <c r="I56" s="192">
        <v>20</v>
      </c>
      <c r="J56" s="100">
        <v>3.9</v>
      </c>
      <c r="K56" s="68"/>
      <c r="L56" s="60" t="e">
        <f>F56*L$20/E$94</f>
        <v>#REF!</v>
      </c>
      <c r="M56" s="61">
        <v>0.5</v>
      </c>
    </row>
    <row r="57" spans="2:13" ht="18.75" customHeight="1" x14ac:dyDescent="0.35">
      <c r="B57" s="84">
        <v>102</v>
      </c>
      <c r="C57" s="85">
        <v>102</v>
      </c>
      <c r="D57" s="104" t="s">
        <v>89</v>
      </c>
      <c r="E57" s="65"/>
      <c r="F57" s="55"/>
      <c r="G57" s="186"/>
      <c r="H57" s="271">
        <v>0</v>
      </c>
      <c r="I57" s="128">
        <v>20</v>
      </c>
      <c r="J57" s="100">
        <v>0</v>
      </c>
      <c r="K57" s="75" t="s">
        <v>98</v>
      </c>
      <c r="L57" s="60" t="e">
        <f>F57*L$20/E$94</f>
        <v>#REF!</v>
      </c>
      <c r="M57" s="61">
        <v>0.5</v>
      </c>
    </row>
    <row r="58" spans="2:13" ht="19" thickBot="1" x14ac:dyDescent="0.4">
      <c r="B58" s="84"/>
      <c r="C58" s="85"/>
      <c r="D58" s="103"/>
      <c r="E58" s="121"/>
      <c r="F58" s="78"/>
      <c r="G58" s="173" t="e">
        <f>SUM(G54:G57)</f>
        <v>#REF!</v>
      </c>
      <c r="H58" s="173">
        <f>SUM(H54:H57)</f>
        <v>1.91001902</v>
      </c>
      <c r="I58" s="123"/>
      <c r="J58" s="124"/>
      <c r="K58" s="125"/>
      <c r="L58" s="60" t="e">
        <f>F58*L$20/E$94</f>
        <v>#REF!</v>
      </c>
      <c r="M58" s="61"/>
    </row>
    <row r="59" spans="2:13" ht="19" thickBot="1" x14ac:dyDescent="0.4">
      <c r="B59" s="237"/>
      <c r="C59" s="252"/>
      <c r="D59" s="251" t="s">
        <v>49</v>
      </c>
      <c r="E59" s="276"/>
      <c r="F59" s="229"/>
      <c r="G59" s="235"/>
      <c r="H59" s="272"/>
      <c r="I59" s="236"/>
      <c r="J59" s="243"/>
      <c r="K59" s="245"/>
      <c r="L59" s="60" t="e">
        <f>F59*L$20/E$94</f>
        <v>#REF!</v>
      </c>
      <c r="M59" s="61"/>
    </row>
    <row r="60" spans="2:13" ht="20" customHeight="1" x14ac:dyDescent="0.35">
      <c r="B60" s="51">
        <v>103</v>
      </c>
      <c r="C60" s="52">
        <v>103</v>
      </c>
      <c r="D60" s="249" t="s">
        <v>50</v>
      </c>
      <c r="E60" s="54">
        <v>2</v>
      </c>
      <c r="F60" s="152">
        <f>M60*M$20/M$83</f>
        <v>1.2346685346749029</v>
      </c>
      <c r="G60" s="238" t="e">
        <f>L60</f>
        <v>#REF!</v>
      </c>
      <c r="H60" s="135">
        <v>1.0322403200000001</v>
      </c>
      <c r="I60" s="57">
        <v>20.6</v>
      </c>
      <c r="J60" s="136">
        <v>4.9000000000000004</v>
      </c>
      <c r="K60" s="247"/>
      <c r="L60" s="60" t="e">
        <f>F60*L$20/E$94</f>
        <v>#REF!</v>
      </c>
      <c r="M60" s="61">
        <v>3.7</v>
      </c>
    </row>
    <row r="61" spans="2:13" ht="20" customHeight="1" x14ac:dyDescent="0.35">
      <c r="B61" s="62">
        <v>104</v>
      </c>
      <c r="C61" s="63">
        <v>104</v>
      </c>
      <c r="D61" s="115" t="s">
        <v>51</v>
      </c>
      <c r="E61" s="65">
        <v>7.5</v>
      </c>
      <c r="F61" s="55">
        <f>M61*M$20/M$83</f>
        <v>3.3369419856078451</v>
      </c>
      <c r="G61" s="56" t="e">
        <f>L61</f>
        <v>#REF!</v>
      </c>
      <c r="H61" s="71">
        <v>2.6244580000000002</v>
      </c>
      <c r="I61" s="66">
        <v>22</v>
      </c>
      <c r="J61" s="139">
        <v>7</v>
      </c>
      <c r="K61" s="118"/>
      <c r="L61" s="60" t="e">
        <f>F61*L$20/E$94</f>
        <v>#REF!</v>
      </c>
      <c r="M61" s="61">
        <v>10</v>
      </c>
    </row>
    <row r="62" spans="2:13" ht="19" thickBot="1" x14ac:dyDescent="0.4">
      <c r="B62" s="129"/>
      <c r="C62" s="130"/>
      <c r="D62" s="250"/>
      <c r="E62" s="149"/>
      <c r="F62" s="239"/>
      <c r="G62" s="257" t="e">
        <f>SUM(G60:G61)</f>
        <v>#REF!</v>
      </c>
      <c r="H62" s="257">
        <f>SUM(H60:H61)</f>
        <v>3.6566983200000003</v>
      </c>
      <c r="I62" s="143"/>
      <c r="J62" s="242"/>
      <c r="K62" s="248"/>
      <c r="L62" s="60"/>
      <c r="M62" s="61"/>
    </row>
    <row r="63" spans="2:13" ht="19" thickBot="1" x14ac:dyDescent="0.4">
      <c r="B63" s="106"/>
      <c r="C63" s="240"/>
      <c r="D63" s="241"/>
      <c r="E63" s="276"/>
      <c r="F63" s="235"/>
      <c r="G63" s="235"/>
      <c r="H63" s="272"/>
      <c r="I63" s="230"/>
      <c r="J63" s="244"/>
      <c r="K63" s="246"/>
      <c r="L63" s="60"/>
      <c r="M63" s="61"/>
    </row>
    <row r="64" spans="2:13" ht="42.75" customHeight="1" thickBot="1" x14ac:dyDescent="0.5">
      <c r="B64" s="13" t="s">
        <v>14</v>
      </c>
      <c r="C64" s="30"/>
      <c r="D64" s="31"/>
      <c r="E64" s="26">
        <f>SUM(E65:E70)</f>
        <v>204</v>
      </c>
      <c r="F64" s="26">
        <f>SUM(F65:F70)</f>
        <v>95.113099407756494</v>
      </c>
      <c r="G64" s="26" t="e">
        <f>SUM(G65:G70)</f>
        <v>#REF!</v>
      </c>
      <c r="H64" s="26">
        <f>SUM(H65:H70)</f>
        <v>93.406999999999996</v>
      </c>
      <c r="I64" s="234"/>
      <c r="J64" s="34"/>
      <c r="K64" s="21" t="s">
        <v>52</v>
      </c>
      <c r="L64" s="60"/>
      <c r="M64" s="131"/>
    </row>
    <row r="65" spans="2:13" ht="18.649999999999999" customHeight="1" x14ac:dyDescent="0.35">
      <c r="B65" s="51">
        <v>105</v>
      </c>
      <c r="C65" s="132">
        <v>1</v>
      </c>
      <c r="D65" s="133" t="s">
        <v>53</v>
      </c>
      <c r="E65" s="134">
        <v>120</v>
      </c>
      <c r="F65" s="55">
        <v>50</v>
      </c>
      <c r="G65" s="273">
        <f t="shared" si="0"/>
        <v>50</v>
      </c>
      <c r="H65" s="135">
        <v>36.456000000000003</v>
      </c>
      <c r="I65" s="57">
        <v>26</v>
      </c>
      <c r="J65" s="136">
        <v>24</v>
      </c>
      <c r="K65" s="180" t="s">
        <v>99</v>
      </c>
      <c r="L65" s="60">
        <v>50</v>
      </c>
      <c r="M65" s="61">
        <v>0</v>
      </c>
    </row>
    <row r="66" spans="2:13" ht="18" customHeight="1" x14ac:dyDescent="0.35">
      <c r="B66" s="62">
        <f>B65+1</f>
        <v>106</v>
      </c>
      <c r="C66" s="76">
        <f>C65+1</f>
        <v>2</v>
      </c>
      <c r="D66" s="137" t="s">
        <v>54</v>
      </c>
      <c r="E66" s="138">
        <v>6</v>
      </c>
      <c r="F66" s="55">
        <f>M66*M$20/M$83</f>
        <v>0.26695535884862764</v>
      </c>
      <c r="G66" s="273" t="e">
        <f t="shared" si="0"/>
        <v>#REF!</v>
      </c>
      <c r="H66" s="71">
        <v>0.24</v>
      </c>
      <c r="I66" s="66">
        <v>25</v>
      </c>
      <c r="J66" s="139">
        <v>24</v>
      </c>
      <c r="K66" s="140" t="s">
        <v>55</v>
      </c>
      <c r="L66" s="60" t="e">
        <f>F66*L$20/E$94</f>
        <v>#REF!</v>
      </c>
      <c r="M66" s="61">
        <v>0.8</v>
      </c>
    </row>
    <row r="67" spans="2:13" ht="15.5" x14ac:dyDescent="0.35">
      <c r="B67" s="62">
        <f t="shared" ref="B67:B70" si="4">B66+1</f>
        <v>107</v>
      </c>
      <c r="C67" s="76">
        <v>3</v>
      </c>
      <c r="D67" s="147" t="s">
        <v>56</v>
      </c>
      <c r="E67" s="138"/>
      <c r="F67" s="55">
        <f>M67*M$20/M$83</f>
        <v>0.83423549640196126</v>
      </c>
      <c r="G67" s="273" t="e">
        <f t="shared" si="0"/>
        <v>#REF!</v>
      </c>
      <c r="H67" s="71">
        <v>1.7290000000000001</v>
      </c>
      <c r="I67" s="66">
        <v>28</v>
      </c>
      <c r="J67" s="139">
        <v>26</v>
      </c>
      <c r="K67" s="140" t="s">
        <v>55</v>
      </c>
      <c r="L67" s="60" t="e">
        <f>F67*L$20/E$94</f>
        <v>#REF!</v>
      </c>
      <c r="M67" s="61">
        <v>2.5</v>
      </c>
    </row>
    <row r="68" spans="2:13" ht="19.25" customHeight="1" x14ac:dyDescent="0.35">
      <c r="B68" s="62">
        <f t="shared" si="4"/>
        <v>108</v>
      </c>
      <c r="C68" s="76">
        <v>4</v>
      </c>
      <c r="D68" s="137" t="s">
        <v>57</v>
      </c>
      <c r="E68" s="138">
        <v>60</v>
      </c>
      <c r="F68" s="55">
        <v>33</v>
      </c>
      <c r="G68" s="273">
        <f t="shared" ref="G68:G82" si="5">L68</f>
        <v>33</v>
      </c>
      <c r="H68" s="71">
        <v>42.076000000000001</v>
      </c>
      <c r="I68" s="66">
        <v>26.5</v>
      </c>
      <c r="J68" s="139">
        <v>21.6</v>
      </c>
      <c r="K68" s="224" t="s">
        <v>55</v>
      </c>
      <c r="L68" s="60">
        <v>33</v>
      </c>
      <c r="M68" s="61">
        <v>0</v>
      </c>
    </row>
    <row r="69" spans="2:13" ht="15.5" x14ac:dyDescent="0.35">
      <c r="B69" s="62">
        <f t="shared" si="4"/>
        <v>109</v>
      </c>
      <c r="C69" s="76">
        <v>5</v>
      </c>
      <c r="D69" s="141" t="s">
        <v>58</v>
      </c>
      <c r="E69" s="138">
        <v>6</v>
      </c>
      <c r="F69" s="55">
        <f>M69*M$20/M$83</f>
        <v>4.0043303827294139</v>
      </c>
      <c r="G69" s="273" t="e">
        <f t="shared" si="5"/>
        <v>#REF!</v>
      </c>
      <c r="H69" s="71">
        <v>4.4219999999999997</v>
      </c>
      <c r="I69" s="66">
        <v>28</v>
      </c>
      <c r="J69" s="139">
        <v>3.4</v>
      </c>
      <c r="K69" s="140" t="s">
        <v>55</v>
      </c>
      <c r="L69" s="60" t="e">
        <f>F69*L$20/E$94</f>
        <v>#REF!</v>
      </c>
      <c r="M69" s="61">
        <v>12</v>
      </c>
    </row>
    <row r="70" spans="2:13" ht="16" thickBot="1" x14ac:dyDescent="0.4">
      <c r="B70" s="62">
        <f t="shared" si="4"/>
        <v>110</v>
      </c>
      <c r="C70" s="162">
        <v>6</v>
      </c>
      <c r="D70" s="163" t="s">
        <v>59</v>
      </c>
      <c r="E70" s="164">
        <v>12</v>
      </c>
      <c r="F70" s="55">
        <f>M70*M$20/M$83</f>
        <v>7.0075781697764752</v>
      </c>
      <c r="G70" s="190" t="e">
        <f t="shared" si="5"/>
        <v>#REF!</v>
      </c>
      <c r="H70" s="165">
        <v>8.484</v>
      </c>
      <c r="I70" s="87">
        <v>27</v>
      </c>
      <c r="J70" s="155">
        <v>4.5</v>
      </c>
      <c r="K70" s="223" t="s">
        <v>55</v>
      </c>
      <c r="L70" s="60" t="e">
        <f>F70*L$20/E$94</f>
        <v>#REF!</v>
      </c>
      <c r="M70" s="61">
        <v>21</v>
      </c>
    </row>
    <row r="71" spans="2:13" ht="49.25" customHeight="1" thickBot="1" x14ac:dyDescent="0.5">
      <c r="B71" s="13" t="s">
        <v>15</v>
      </c>
      <c r="C71" s="30"/>
      <c r="D71" s="31"/>
      <c r="E71" s="16">
        <f>SUM(E72:E76)</f>
        <v>23.2</v>
      </c>
      <c r="F71" s="16">
        <f>SUM(F72:F76)</f>
        <v>10.010825956823535</v>
      </c>
      <c r="G71" s="32" t="e">
        <f>SUM(G72:G76)</f>
        <v>#REF!</v>
      </c>
      <c r="H71" s="32">
        <f>SUM(H72:H76)</f>
        <v>6.8490000000000002</v>
      </c>
      <c r="I71" s="33"/>
      <c r="J71" s="34"/>
      <c r="K71" s="35" t="s">
        <v>84</v>
      </c>
      <c r="L71" s="60"/>
      <c r="M71" s="131"/>
    </row>
    <row r="72" spans="2:13" ht="15.5" x14ac:dyDescent="0.35">
      <c r="B72" s="51">
        <v>111</v>
      </c>
      <c r="C72" s="52">
        <v>1</v>
      </c>
      <c r="D72" s="144" t="s">
        <v>60</v>
      </c>
      <c r="E72" s="54">
        <v>9.6</v>
      </c>
      <c r="F72" s="55">
        <f>M72*M$20/M$83</f>
        <v>1.6684709928039225</v>
      </c>
      <c r="G72" s="56" t="e">
        <f t="shared" si="5"/>
        <v>#REF!</v>
      </c>
      <c r="H72" s="135">
        <v>2.8420000000000001</v>
      </c>
      <c r="I72" s="57">
        <v>47</v>
      </c>
      <c r="J72" s="58">
        <v>4.3</v>
      </c>
      <c r="K72" s="145" t="s">
        <v>55</v>
      </c>
      <c r="L72" s="60" t="e">
        <f>F72*L$20/E$94</f>
        <v>#REF!</v>
      </c>
      <c r="M72" s="61">
        <v>5</v>
      </c>
    </row>
    <row r="73" spans="2:13" ht="15.5" x14ac:dyDescent="0.35">
      <c r="B73" s="62">
        <f>B72+1</f>
        <v>112</v>
      </c>
      <c r="C73" s="63">
        <f>C72+1</f>
        <v>2</v>
      </c>
      <c r="D73" s="137" t="s">
        <v>61</v>
      </c>
      <c r="E73" s="65">
        <v>5</v>
      </c>
      <c r="F73" s="55">
        <f>M73*M$20/M$83</f>
        <v>2.3358593899254916</v>
      </c>
      <c r="G73" s="56" t="e">
        <f t="shared" si="5"/>
        <v>#REF!</v>
      </c>
      <c r="H73" s="71">
        <v>0.60199999999999998</v>
      </c>
      <c r="I73" s="66">
        <v>42</v>
      </c>
      <c r="J73" s="67">
        <v>8</v>
      </c>
      <c r="K73" s="146" t="s">
        <v>55</v>
      </c>
      <c r="L73" s="60" t="e">
        <f>F73*L$20/E$94</f>
        <v>#REF!</v>
      </c>
      <c r="M73" s="61">
        <v>7</v>
      </c>
    </row>
    <row r="74" spans="2:13" ht="15.5" x14ac:dyDescent="0.35">
      <c r="B74" s="62">
        <f t="shared" ref="B74:C75" si="6">B73+1</f>
        <v>113</v>
      </c>
      <c r="C74" s="63">
        <f t="shared" si="6"/>
        <v>3</v>
      </c>
      <c r="D74" s="137" t="s">
        <v>62</v>
      </c>
      <c r="E74" s="65">
        <v>5.6</v>
      </c>
      <c r="F74" s="55">
        <f>M74*M$20/M$83</f>
        <v>0.50054129784117674</v>
      </c>
      <c r="G74" s="56" t="e">
        <f t="shared" si="5"/>
        <v>#REF!</v>
      </c>
      <c r="H74" s="71">
        <v>1.0680000000000001</v>
      </c>
      <c r="I74" s="66">
        <v>40</v>
      </c>
      <c r="J74" s="67">
        <v>12</v>
      </c>
      <c r="K74" s="146" t="s">
        <v>55</v>
      </c>
      <c r="L74" s="60" t="e">
        <f>F74*L$20/E$94</f>
        <v>#REF!</v>
      </c>
      <c r="M74" s="61">
        <v>1.5</v>
      </c>
    </row>
    <row r="75" spans="2:13" ht="15.5" x14ac:dyDescent="0.35">
      <c r="B75" s="62">
        <f t="shared" si="6"/>
        <v>114</v>
      </c>
      <c r="C75" s="63">
        <f t="shared" si="6"/>
        <v>4</v>
      </c>
      <c r="D75" s="137" t="s">
        <v>63</v>
      </c>
      <c r="E75" s="65">
        <v>3</v>
      </c>
      <c r="F75" s="55">
        <f>M75*M$20/M$83</f>
        <v>0.50054129784117674</v>
      </c>
      <c r="G75" s="56" t="e">
        <f t="shared" si="5"/>
        <v>#REF!</v>
      </c>
      <c r="H75" s="71">
        <v>0.26700000000000002</v>
      </c>
      <c r="I75" s="66">
        <v>22</v>
      </c>
      <c r="J75" s="67">
        <v>2.9</v>
      </c>
      <c r="K75" s="146" t="s">
        <v>55</v>
      </c>
      <c r="L75" s="60" t="e">
        <f>F75*L$20/E$94</f>
        <v>#REF!</v>
      </c>
      <c r="M75" s="61">
        <v>1.5</v>
      </c>
    </row>
    <row r="76" spans="2:13" ht="16" thickBot="1" x14ac:dyDescent="0.4">
      <c r="B76" s="62" t="e">
        <f>#REF!+1</f>
        <v>#REF!</v>
      </c>
      <c r="C76" s="85">
        <v>13</v>
      </c>
      <c r="D76" s="148" t="s">
        <v>67</v>
      </c>
      <c r="E76" s="149">
        <v>0</v>
      </c>
      <c r="F76" s="55">
        <f>M76*M$20/M$83</f>
        <v>5.0054129784117682</v>
      </c>
      <c r="G76" s="56" t="e">
        <f t="shared" si="5"/>
        <v>#REF!</v>
      </c>
      <c r="H76" s="150">
        <v>2.0699999999999998</v>
      </c>
      <c r="I76" s="143">
        <v>50</v>
      </c>
      <c r="J76" s="151">
        <v>21</v>
      </c>
      <c r="K76" s="225" t="s">
        <v>68</v>
      </c>
      <c r="L76" s="60" t="e">
        <f>F76*L$20/E$94</f>
        <v>#REF!</v>
      </c>
      <c r="M76" s="61">
        <v>15</v>
      </c>
    </row>
    <row r="77" spans="2:13" ht="48" customHeight="1" thickBot="1" x14ac:dyDescent="0.5">
      <c r="B77" s="13" t="s">
        <v>16</v>
      </c>
      <c r="C77" s="30"/>
      <c r="D77" s="36"/>
      <c r="E77" s="16">
        <f>E78+E82+E81</f>
        <v>22.4</v>
      </c>
      <c r="F77" s="37">
        <v>3</v>
      </c>
      <c r="G77" s="37">
        <v>3</v>
      </c>
      <c r="H77" s="37">
        <f>SUM(H78:H82)</f>
        <v>2.2443500699999999</v>
      </c>
      <c r="I77" s="33"/>
      <c r="J77" s="34"/>
      <c r="K77" s="38" t="s">
        <v>69</v>
      </c>
      <c r="L77" s="60"/>
      <c r="M77" s="131"/>
    </row>
    <row r="78" spans="2:13" ht="19.5" customHeight="1" x14ac:dyDescent="0.35">
      <c r="B78" s="51">
        <v>124</v>
      </c>
      <c r="C78" s="52">
        <v>1</v>
      </c>
      <c r="D78" s="133" t="s">
        <v>70</v>
      </c>
      <c r="E78" s="286">
        <v>20.399999999999999</v>
      </c>
      <c r="F78" s="152">
        <v>3</v>
      </c>
      <c r="G78" s="56">
        <v>3</v>
      </c>
      <c r="H78" s="135">
        <v>2.2443500699999999</v>
      </c>
      <c r="I78" s="153">
        <v>45.58</v>
      </c>
      <c r="J78" s="154">
        <v>32.42</v>
      </c>
      <c r="K78" s="176" t="s">
        <v>55</v>
      </c>
      <c r="L78" s="60">
        <v>0</v>
      </c>
      <c r="M78" s="61">
        <v>0</v>
      </c>
    </row>
    <row r="79" spans="2:13" ht="19.5" customHeight="1" x14ac:dyDescent="0.35">
      <c r="B79" s="62">
        <f>B78+1</f>
        <v>125</v>
      </c>
      <c r="C79" s="127">
        <v>2</v>
      </c>
      <c r="D79" s="216" t="s">
        <v>71</v>
      </c>
      <c r="E79" s="287"/>
      <c r="F79" s="122">
        <v>0</v>
      </c>
      <c r="G79" s="220">
        <f>L79</f>
        <v>0</v>
      </c>
      <c r="H79" s="159">
        <v>0</v>
      </c>
      <c r="I79" s="170"/>
      <c r="J79" s="174"/>
      <c r="K79" s="175" t="s">
        <v>64</v>
      </c>
      <c r="L79" s="60"/>
      <c r="M79" s="61"/>
    </row>
    <row r="80" spans="2:13" ht="19.5" customHeight="1" x14ac:dyDescent="0.35">
      <c r="B80" s="62">
        <f t="shared" ref="B80:B82" si="7">B79+1</f>
        <v>126</v>
      </c>
      <c r="C80" s="63">
        <v>3</v>
      </c>
      <c r="D80" s="147" t="s">
        <v>72</v>
      </c>
      <c r="E80" s="285"/>
      <c r="F80" s="55">
        <v>0</v>
      </c>
      <c r="G80" s="181">
        <v>0</v>
      </c>
      <c r="H80" s="71">
        <v>0</v>
      </c>
      <c r="I80" s="217"/>
      <c r="J80" s="221"/>
      <c r="K80" s="218" t="s">
        <v>73</v>
      </c>
      <c r="L80" s="60"/>
      <c r="M80" s="61"/>
    </row>
    <row r="81" spans="2:13" ht="19.5" customHeight="1" x14ac:dyDescent="0.35">
      <c r="B81" s="96">
        <f t="shared" si="7"/>
        <v>127</v>
      </c>
      <c r="C81" s="85">
        <v>4</v>
      </c>
      <c r="D81" s="253" t="s">
        <v>74</v>
      </c>
      <c r="E81" s="277">
        <v>1</v>
      </c>
      <c r="F81" s="78" t="e">
        <f>M81*L20/M83</f>
        <v>#REF!</v>
      </c>
      <c r="G81" s="56" t="e">
        <f>L81</f>
        <v>#REF!</v>
      </c>
      <c r="H81" s="165">
        <v>0</v>
      </c>
      <c r="I81" s="254">
        <f>I78</f>
        <v>45.58</v>
      </c>
      <c r="J81" s="222">
        <v>0</v>
      </c>
      <c r="K81" s="255" t="s">
        <v>27</v>
      </c>
      <c r="L81" s="60" t="e">
        <f>F81*L$20/E$94</f>
        <v>#REF!</v>
      </c>
      <c r="M81" s="61">
        <v>1.5</v>
      </c>
    </row>
    <row r="82" spans="2:13" ht="16" thickBot="1" x14ac:dyDescent="0.4">
      <c r="B82" s="126">
        <f t="shared" si="7"/>
        <v>128</v>
      </c>
      <c r="C82" s="130">
        <v>5</v>
      </c>
      <c r="D82" s="219" t="s">
        <v>75</v>
      </c>
      <c r="E82" s="149">
        <v>1</v>
      </c>
      <c r="F82" s="78" t="e">
        <f>M82*L20/M83</f>
        <v>#REF!</v>
      </c>
      <c r="G82" s="56" t="e">
        <f t="shared" si="5"/>
        <v>#REF!</v>
      </c>
      <c r="H82" s="150">
        <v>0</v>
      </c>
      <c r="I82" s="87"/>
      <c r="J82" s="222"/>
      <c r="K82" s="156" t="s">
        <v>76</v>
      </c>
      <c r="L82" s="60" t="e">
        <f>F82*L$20/E$94</f>
        <v>#REF!</v>
      </c>
      <c r="M82" s="61">
        <v>0.5</v>
      </c>
    </row>
    <row r="83" spans="2:13" ht="19" thickBot="1" x14ac:dyDescent="0.4">
      <c r="B83" s="288" t="s">
        <v>17</v>
      </c>
      <c r="C83" s="289"/>
      <c r="D83" s="290"/>
      <c r="E83" s="39">
        <f>SUM(E26:E58)+SUM(E65:E70)+SUM(E72:E76)+SUM(E78:E82)</f>
        <v>684.87</v>
      </c>
      <c r="F83" s="40" t="e">
        <f>SUM(F26:F50)+SUM(F54:F57)+SUM(F65:F70)+SUM(F72:F76)+SUM(F78:F82)</f>
        <v>#REF!</v>
      </c>
      <c r="G83" s="40" t="e">
        <f>SUM(G25,G64,G71,G77)</f>
        <v>#REF!</v>
      </c>
      <c r="H83" s="39">
        <f>H25+H64+H71+H77</f>
        <v>288.78384263999993</v>
      </c>
      <c r="I83" s="291"/>
      <c r="J83" s="292"/>
      <c r="K83" s="187">
        <f>H11-G11</f>
        <v>-72.216157360000068</v>
      </c>
      <c r="L83" s="60"/>
      <c r="M83" s="131">
        <f>SUM(M26:M82)</f>
        <v>785.15000000000009</v>
      </c>
    </row>
    <row r="84" spans="2:13" ht="19" thickBot="1" x14ac:dyDescent="0.5">
      <c r="B84" s="1"/>
      <c r="C84" s="1"/>
      <c r="D84" s="41"/>
      <c r="E84" s="178"/>
      <c r="F84" s="42"/>
      <c r="G84" s="42"/>
      <c r="H84" s="169"/>
      <c r="I84" s="43"/>
      <c r="J84" s="43"/>
      <c r="K84" s="1"/>
      <c r="L84" s="60"/>
    </row>
    <row r="85" spans="2:13" ht="23.25" customHeight="1" thickBot="1" x14ac:dyDescent="0.4">
      <c r="B85" s="278" t="s">
        <v>18</v>
      </c>
      <c r="C85" s="279"/>
      <c r="D85" s="280"/>
      <c r="E85" s="193">
        <f>SUM(E86:E90)</f>
        <v>312</v>
      </c>
      <c r="F85" s="193">
        <f>SUM(F86:F90)</f>
        <v>103.51373756000001</v>
      </c>
      <c r="G85" s="193">
        <f t="shared" ref="G85:H85" si="8">SUM(G86:G90)</f>
        <v>76.51373756000001</v>
      </c>
      <c r="H85" s="193">
        <f t="shared" si="8"/>
        <v>33.45502793</v>
      </c>
      <c r="I85" s="194"/>
      <c r="J85" s="195"/>
      <c r="K85" s="196" t="s">
        <v>77</v>
      </c>
      <c r="L85" s="60"/>
    </row>
    <row r="86" spans="2:13" ht="15.5" x14ac:dyDescent="0.35">
      <c r="B86" s="51">
        <v>129</v>
      </c>
      <c r="C86" s="200">
        <v>1</v>
      </c>
      <c r="D86" s="201" t="s">
        <v>78</v>
      </c>
      <c r="E86" s="157">
        <v>5</v>
      </c>
      <c r="F86" s="158">
        <v>4.4107375600000003</v>
      </c>
      <c r="G86" s="158">
        <v>4.4107375600000003</v>
      </c>
      <c r="H86" s="135">
        <v>11.483000000000001</v>
      </c>
      <c r="I86" s="153">
        <v>42.04</v>
      </c>
      <c r="J86" s="153">
        <f>I86</f>
        <v>42.04</v>
      </c>
      <c r="K86" s="202" t="s">
        <v>55</v>
      </c>
      <c r="L86" s="60"/>
    </row>
    <row r="87" spans="2:13" ht="15.5" x14ac:dyDescent="0.35">
      <c r="B87" s="62">
        <f>B86+1</f>
        <v>130</v>
      </c>
      <c r="C87" s="197">
        <v>2</v>
      </c>
      <c r="D87" s="198" t="s">
        <v>79</v>
      </c>
      <c r="E87" s="160">
        <v>100</v>
      </c>
      <c r="F87" s="161">
        <v>57.103000000000002</v>
      </c>
      <c r="G87" s="161">
        <v>57.103000000000002</v>
      </c>
      <c r="H87" s="71">
        <v>6.9720279300000003</v>
      </c>
      <c r="I87" s="66"/>
      <c r="J87" s="66"/>
      <c r="K87" s="203" t="s">
        <v>55</v>
      </c>
      <c r="L87" s="60"/>
    </row>
    <row r="88" spans="2:13" ht="15.5" x14ac:dyDescent="0.35">
      <c r="B88" s="62">
        <f t="shared" ref="B88:B90" si="9">B87+1</f>
        <v>131</v>
      </c>
      <c r="C88" s="197">
        <v>3</v>
      </c>
      <c r="D88" s="199" t="s">
        <v>80</v>
      </c>
      <c r="E88" s="70">
        <v>27</v>
      </c>
      <c r="F88" s="70">
        <v>12</v>
      </c>
      <c r="G88" s="70">
        <v>12</v>
      </c>
      <c r="H88" s="71">
        <v>12</v>
      </c>
      <c r="I88" s="66" t="e">
        <f>#REF!</f>
        <v>#REF!</v>
      </c>
      <c r="J88" s="66" t="e">
        <f>#REF!</f>
        <v>#REF!</v>
      </c>
      <c r="K88" s="204" t="s">
        <v>55</v>
      </c>
      <c r="L88" s="60"/>
    </row>
    <row r="89" spans="2:13" ht="15.5" x14ac:dyDescent="0.35">
      <c r="B89" s="62">
        <f t="shared" si="9"/>
        <v>132</v>
      </c>
      <c r="C89" s="197">
        <v>4</v>
      </c>
      <c r="D89" s="199" t="s">
        <v>81</v>
      </c>
      <c r="E89" s="70">
        <v>60</v>
      </c>
      <c r="F89" s="70">
        <v>30</v>
      </c>
      <c r="G89" s="70">
        <v>3</v>
      </c>
      <c r="H89" s="71">
        <v>3</v>
      </c>
      <c r="I89" s="66">
        <f>I68</f>
        <v>26.5</v>
      </c>
      <c r="J89" s="66">
        <f>J68</f>
        <v>21.6</v>
      </c>
      <c r="K89" s="204" t="s">
        <v>55</v>
      </c>
      <c r="L89" s="60"/>
    </row>
    <row r="90" spans="2:13" ht="16" thickBot="1" x14ac:dyDescent="0.4">
      <c r="B90" s="62">
        <f t="shared" si="9"/>
        <v>133</v>
      </c>
      <c r="C90" s="205">
        <v>5</v>
      </c>
      <c r="D90" s="206" t="s">
        <v>82</v>
      </c>
      <c r="E90" s="142">
        <v>120</v>
      </c>
      <c r="F90" s="142">
        <v>0</v>
      </c>
      <c r="G90" s="142">
        <f>F90</f>
        <v>0</v>
      </c>
      <c r="H90" s="150">
        <v>0</v>
      </c>
      <c r="I90" s="143">
        <f>I65</f>
        <v>26</v>
      </c>
      <c r="J90" s="143">
        <f>J65</f>
        <v>24</v>
      </c>
      <c r="K90" s="207" t="s">
        <v>55</v>
      </c>
      <c r="L90" s="60"/>
    </row>
    <row r="91" spans="2:13" ht="15" thickBot="1" x14ac:dyDescent="0.4">
      <c r="B91" s="1"/>
      <c r="C91" s="1"/>
      <c r="D91" s="43"/>
      <c r="E91" s="178"/>
      <c r="F91" s="46"/>
      <c r="G91" s="46"/>
      <c r="I91" s="1"/>
      <c r="J91" s="1"/>
      <c r="K91" s="47"/>
      <c r="L91" s="7"/>
    </row>
    <row r="92" spans="2:13" ht="21.5" thickBot="1" x14ac:dyDescent="0.4">
      <c r="B92" s="281" t="s">
        <v>19</v>
      </c>
      <c r="C92" s="282"/>
      <c r="D92" s="282"/>
      <c r="E92" s="48"/>
      <c r="F92" s="49"/>
      <c r="G92" s="49"/>
      <c r="H92" s="50">
        <f>H87+H28</f>
        <v>16.972027929999999</v>
      </c>
      <c r="I92" s="1"/>
      <c r="J92" s="1"/>
      <c r="K92" s="1"/>
      <c r="L92" s="7"/>
    </row>
    <row r="93" spans="2:13" x14ac:dyDescent="0.35">
      <c r="L93" s="7"/>
    </row>
    <row r="94" spans="2:13" ht="15" hidden="1" customHeight="1" x14ac:dyDescent="0.35">
      <c r="D94" t="s">
        <v>83</v>
      </c>
      <c r="E94" s="166">
        <f>G20-G28-G65-G68</f>
        <v>262</v>
      </c>
      <c r="G94" s="167" t="e">
        <f>F83-(F78+#REF!+F28+F65+F68+#REF!)</f>
        <v>#REF!</v>
      </c>
      <c r="L94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5:D85"/>
    <mergeCell ref="B92:D92"/>
    <mergeCell ref="K23:K24"/>
    <mergeCell ref="E78:E80"/>
    <mergeCell ref="B83:D83"/>
    <mergeCell ref="I83:J8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95"/>
  <sheetViews>
    <sheetView tabSelected="1" topLeftCell="A172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346.41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249.3447256841834</v>
      </c>
      <c r="G7" s="18" t="e">
        <f>G25</f>
        <v>#REF!</v>
      </c>
      <c r="H7" s="259">
        <f>H25</f>
        <v>170.78972353999998</v>
      </c>
      <c r="I7" s="19"/>
      <c r="J7" s="20"/>
      <c r="K7" s="21" t="str">
        <f>K25</f>
        <v>88 Stations on stream, 4 on shutdown, 13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95.219709623538478</v>
      </c>
      <c r="G8" s="26" t="e">
        <f>G65</f>
        <v>#REF!</v>
      </c>
      <c r="H8" s="260">
        <f>H65</f>
        <v>83.947999999999993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9.5939868945136837</v>
      </c>
      <c r="G9" s="32" t="e">
        <f>G72</f>
        <v>#REF!</v>
      </c>
      <c r="H9" s="261">
        <f>H72</f>
        <v>6.5680000000000005</v>
      </c>
      <c r="I9" s="33"/>
      <c r="J9" s="34"/>
      <c r="K9" s="35" t="str">
        <f>K72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2.5470857800000002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358</v>
      </c>
      <c r="G11" s="40">
        <f>E20+G10</f>
        <v>346.41</v>
      </c>
      <c r="H11" s="188">
        <f>SUM(H7:H10)</f>
        <v>263.85280931999995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105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35.28583708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11.73583708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343.41</v>
      </c>
      <c r="F20" s="171" t="s">
        <v>21</v>
      </c>
      <c r="G20" s="4">
        <v>355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262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249.3447256841834</v>
      </c>
      <c r="G25" s="18" t="e">
        <f>G33+G43+G52+G59+G63</f>
        <v>#REF!</v>
      </c>
      <c r="H25" s="18">
        <f>SUM(H26:H31)+SUM(H36:H41)+SUM(H45:H51)+SUM(H55:H58)+SUM(H61:H62)</f>
        <v>170.78972353999998</v>
      </c>
      <c r="I25" s="19"/>
      <c r="J25" s="20"/>
      <c r="K25" s="21" t="s">
        <v>104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76.75189515610947</v>
      </c>
      <c r="G26" s="56" t="e">
        <f>L26</f>
        <v>#REF!</v>
      </c>
      <c r="H26" s="263">
        <v>47.21</v>
      </c>
      <c r="I26" s="57">
        <v>19.600000000000001</v>
      </c>
      <c r="J26" s="58">
        <v>16.7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14.47513812154696</v>
      </c>
      <c r="G27" s="56" t="e">
        <f t="shared" ref="G27:G68" si="0">L27</f>
        <v>#REF!</v>
      </c>
      <c r="H27" s="263">
        <v>10.988988389999999</v>
      </c>
      <c r="I27" s="66">
        <v>22.8</v>
      </c>
      <c r="J27" s="67">
        <v>9.8000000000000007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0.40395734292689189</v>
      </c>
      <c r="G29" s="56" t="e">
        <f t="shared" si="0"/>
        <v>#REF!</v>
      </c>
      <c r="H29" s="263">
        <v>8.9300000000000004E-2</v>
      </c>
      <c r="I29" s="66">
        <v>24.5</v>
      </c>
      <c r="J29" s="67">
        <v>17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38.712578697160474</v>
      </c>
      <c r="G30" s="56" t="e">
        <f>L30</f>
        <v>#REF!</v>
      </c>
      <c r="H30" s="263">
        <v>26.64951087</v>
      </c>
      <c r="I30" s="66">
        <v>22</v>
      </c>
      <c r="J30" s="67">
        <v>14.4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94.256713349608106</v>
      </c>
      <c r="G31" s="56" t="e">
        <f t="shared" si="0"/>
        <v>#REF!</v>
      </c>
      <c r="H31" s="263">
        <v>64.3</v>
      </c>
      <c r="I31" s="66">
        <v>18.399999999999999</v>
      </c>
      <c r="J31" s="67" t="s">
        <v>102</v>
      </c>
      <c r="K31" s="68"/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159.23779925999997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1.6831555955287163</v>
      </c>
      <c r="G36" s="56" t="e">
        <f t="shared" si="0"/>
        <v>#REF!</v>
      </c>
      <c r="H36" s="263">
        <v>2.0520429199999999</v>
      </c>
      <c r="I36" s="99">
        <v>23</v>
      </c>
      <c r="J36" s="100">
        <v>23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0.23564178337402025</v>
      </c>
      <c r="G37" s="56" t="e">
        <f t="shared" si="0"/>
        <v>#REF!</v>
      </c>
      <c r="H37" s="263">
        <v>6.7430000000000004E-2</v>
      </c>
      <c r="I37" s="66">
        <v>23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0.23564178337402025</v>
      </c>
      <c r="G38" s="56" t="e">
        <f t="shared" si="0"/>
        <v>#REF!</v>
      </c>
      <c r="H38" s="263">
        <v>0.18495489000000001</v>
      </c>
      <c r="I38" s="66">
        <v>23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0.33663111910574328</v>
      </c>
      <c r="G39" s="56" t="e">
        <f t="shared" si="0"/>
        <v>#REF!</v>
      </c>
      <c r="H39" s="264">
        <v>0.28924230000000001</v>
      </c>
      <c r="I39" s="66">
        <v>22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0.16831555955287164</v>
      </c>
      <c r="G40" s="56" t="e">
        <f t="shared" si="0"/>
        <v>#REF!</v>
      </c>
      <c r="H40" s="263">
        <v>6.6280969999999995E-2</v>
      </c>
      <c r="I40" s="66">
        <v>24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0.33663111910574328</v>
      </c>
      <c r="G41" s="56" t="e">
        <f t="shared" si="0"/>
        <v>#REF!</v>
      </c>
      <c r="H41" s="263">
        <v>0</v>
      </c>
      <c r="I41" s="66">
        <v>23</v>
      </c>
      <c r="J41" s="67">
        <v>4</v>
      </c>
      <c r="K41" s="74" t="s">
        <v>44</v>
      </c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2.6599510799999999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0.84157779776435815</v>
      </c>
      <c r="G45" s="56" t="e">
        <f t="shared" si="0"/>
        <v>#REF!</v>
      </c>
      <c r="H45" s="269">
        <v>0.80955259999999996</v>
      </c>
      <c r="I45" s="99">
        <v>16.2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1.3465244764229731</v>
      </c>
      <c r="G46" s="56" t="e">
        <f t="shared" si="0"/>
        <v>#REF!</v>
      </c>
      <c r="H46" s="265">
        <v>1.4571240999999999</v>
      </c>
      <c r="I46" s="87">
        <v>17.399999999999999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1.0098933573172297</v>
      </c>
      <c r="G47" s="56" t="e">
        <f t="shared" si="0"/>
        <v>#REF!</v>
      </c>
      <c r="H47" s="265">
        <v>0.53090276000000003</v>
      </c>
      <c r="I47" s="87">
        <v>13.4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0.30296800719516892</v>
      </c>
      <c r="G48" s="56" t="e">
        <f t="shared" si="0"/>
        <v>#REF!</v>
      </c>
      <c r="H48" s="263">
        <v>0.17525014</v>
      </c>
      <c r="I48" s="66">
        <v>17.399999999999999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5.0494667865861487E-2</v>
      </c>
      <c r="G49" s="56" t="e">
        <f t="shared" si="0"/>
        <v>#REF!</v>
      </c>
      <c r="H49" s="71">
        <v>8.7519199999999998E-3</v>
      </c>
      <c r="I49" s="66">
        <v>20</v>
      </c>
      <c r="J49" s="67">
        <v>2.1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5.0494667865861487E-2</v>
      </c>
      <c r="G50" s="56" t="e">
        <f t="shared" si="0"/>
        <v>#REF!</v>
      </c>
      <c r="H50" s="71">
        <v>0</v>
      </c>
      <c r="I50" s="66">
        <v>20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1.3465244764229731</v>
      </c>
      <c r="G51" s="56" t="e">
        <f t="shared" si="0"/>
        <v>#REF!</v>
      </c>
      <c r="H51" s="159">
        <v>0.15223153</v>
      </c>
      <c r="I51" s="123">
        <v>18.2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266"/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1.0098933573172297</v>
      </c>
      <c r="G55" s="209" t="e">
        <f>L55</f>
        <v>#REF!</v>
      </c>
      <c r="H55" s="135">
        <v>1.57547159</v>
      </c>
      <c r="I55" s="57">
        <v>22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1.0098933573172297</v>
      </c>
      <c r="G56" s="273" t="e">
        <f>L56</f>
        <v>#REF!</v>
      </c>
      <c r="H56" s="271">
        <v>0.36549852999999999</v>
      </c>
      <c r="I56" s="192">
        <v>22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0.16831555955287164</v>
      </c>
      <c r="G57" s="273" t="e">
        <f>L57</f>
        <v>#REF!</v>
      </c>
      <c r="H57" s="271">
        <v>4.4571270000000003E-2</v>
      </c>
      <c r="I57" s="192">
        <v>21</v>
      </c>
      <c r="J57" s="100">
        <v>3.9</v>
      </c>
      <c r="K57" s="68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1.9855413900000001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1.2455351406912503</v>
      </c>
      <c r="G61" s="238" t="e">
        <f>L61</f>
        <v>#REF!</v>
      </c>
      <c r="H61" s="135">
        <v>1.0827187599999999</v>
      </c>
      <c r="I61" s="57">
        <v>20.6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3.3663111910574326</v>
      </c>
      <c r="G62" s="56" t="e">
        <f>L62</f>
        <v>#REF!</v>
      </c>
      <c r="H62" s="71">
        <v>2.6899000000000002</v>
      </c>
      <c r="I62" s="66">
        <v>22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3.7726187600000003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95.219709623538478</v>
      </c>
      <c r="G65" s="26" t="e">
        <f>SUM(G66:G71)</f>
        <v>#REF!</v>
      </c>
      <c r="H65" s="26">
        <f>SUM(H66:H71)</f>
        <v>83.947999999999993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38.158999999999999</v>
      </c>
      <c r="I66" s="57">
        <v>27</v>
      </c>
      <c r="J66" s="136">
        <v>25</v>
      </c>
      <c r="K66" s="180" t="s">
        <v>99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0.26930489528459461</v>
      </c>
      <c r="G67" s="273" t="e">
        <f t="shared" si="0"/>
        <v>#REF!</v>
      </c>
      <c r="H67" s="71">
        <v>0.245</v>
      </c>
      <c r="I67" s="66">
        <v>26</v>
      </c>
      <c r="J67" s="139">
        <v>25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0.84157779776435815</v>
      </c>
      <c r="G68" s="273" t="e">
        <f t="shared" si="0"/>
        <v>#REF!</v>
      </c>
      <c r="H68" s="71">
        <v>0.44600000000000001</v>
      </c>
      <c r="I68" s="66">
        <v>28</v>
      </c>
      <c r="J68" s="139">
        <v>27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28</v>
      </c>
      <c r="J69" s="139">
        <v>22.4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4.0395734292689189</v>
      </c>
      <c r="G70" s="273" t="e">
        <f t="shared" si="5"/>
        <v>#REF!</v>
      </c>
      <c r="H70" s="71">
        <v>4.125</v>
      </c>
      <c r="I70" s="66">
        <v>28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7.0692535012206088</v>
      </c>
      <c r="G71" s="190" t="e">
        <f t="shared" si="5"/>
        <v>#REF!</v>
      </c>
      <c r="H71" s="165">
        <v>7.9729999999999999</v>
      </c>
      <c r="I71" s="87">
        <v>28</v>
      </c>
      <c r="J71" s="155">
        <v>4.5999999999999996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9.5939868945136837</v>
      </c>
      <c r="G72" s="32" t="e">
        <f>SUM(G73:G77)</f>
        <v>#REF!</v>
      </c>
      <c r="H72" s="32">
        <f>SUM(H73:H77)</f>
        <v>6.5680000000000005</v>
      </c>
      <c r="I72" s="33"/>
      <c r="J72" s="34"/>
      <c r="K72" s="35" t="s">
        <v>84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1.6831555955287163</v>
      </c>
      <c r="G73" s="56" t="e">
        <f t="shared" si="5"/>
        <v>#REF!</v>
      </c>
      <c r="H73" s="135">
        <v>2.7650000000000001</v>
      </c>
      <c r="I73" s="57">
        <v>46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2.3564178337402026</v>
      </c>
      <c r="G74" s="56" t="e">
        <f t="shared" si="5"/>
        <v>#REF!</v>
      </c>
      <c r="H74" s="71">
        <v>0.65300000000000002</v>
      </c>
      <c r="I74" s="66">
        <v>41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0.50494667865861487</v>
      </c>
      <c r="G75" s="56" t="e">
        <f t="shared" si="5"/>
        <v>#REF!</v>
      </c>
      <c r="H75" s="71">
        <v>1.0780000000000001</v>
      </c>
      <c r="I75" s="66">
        <v>40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5.0494667865861489</v>
      </c>
      <c r="G77" s="56" t="e">
        <f t="shared" si="5"/>
        <v>#REF!</v>
      </c>
      <c r="H77" s="150">
        <v>2.0720000000000001</v>
      </c>
      <c r="I77" s="143">
        <v>49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2.5470857800000002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2.5470857800000002</v>
      </c>
      <c r="I79" s="153">
        <v>46.67</v>
      </c>
      <c r="J79" s="154">
        <v>31.5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46.67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263.85280931999995</v>
      </c>
      <c r="I84" s="291"/>
      <c r="J84" s="292"/>
      <c r="K84" s="187">
        <f>H11-G11</f>
        <v>-82.557190680000076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35.28583708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11.319000000000001</v>
      </c>
      <c r="I87" s="153">
        <v>40.54</v>
      </c>
      <c r="J87" s="153">
        <f>I87</f>
        <v>40.54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1.73583708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10.231</v>
      </c>
      <c r="I90" s="66">
        <f>I69</f>
        <v>28</v>
      </c>
      <c r="J90" s="66">
        <f>J69</f>
        <v>22.4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27</v>
      </c>
      <c r="J91" s="143">
        <f>J66</f>
        <v>25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11.73583708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262</v>
      </c>
      <c r="G95" s="167" t="e">
        <f>F84-(F79+F76+F28+F66+F69+#REF!)</f>
        <v>#REF!</v>
      </c>
      <c r="L95" s="7"/>
    </row>
  </sheetData>
  <mergeCells count="32">
    <mergeCell ref="B86:D86"/>
    <mergeCell ref="B93:D93"/>
    <mergeCell ref="K23:K24"/>
    <mergeCell ref="E79:E81"/>
    <mergeCell ref="B84:D84"/>
    <mergeCell ref="I84:J8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95"/>
  <sheetViews>
    <sheetView tabSelected="1" topLeftCell="A166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351.81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249.3447256841834</v>
      </c>
      <c r="G7" s="18" t="e">
        <f>G25</f>
        <v>#REF!</v>
      </c>
      <c r="H7" s="259">
        <f>H25</f>
        <v>178.67258881999999</v>
      </c>
      <c r="I7" s="19"/>
      <c r="J7" s="20"/>
      <c r="K7" s="21" t="str">
        <f>K25</f>
        <v>84 Stations on stream, 4 on shutdown, 17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95.219709623538478</v>
      </c>
      <c r="G8" s="26" t="e">
        <f>G65</f>
        <v>#REF!</v>
      </c>
      <c r="H8" s="260">
        <f>H65</f>
        <v>77.054000000000002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9.5939868945136837</v>
      </c>
      <c r="G9" s="32" t="e">
        <f>G72</f>
        <v>#REF!</v>
      </c>
      <c r="H9" s="261">
        <f>H72</f>
        <v>6.069</v>
      </c>
      <c r="I9" s="33"/>
      <c r="J9" s="34"/>
      <c r="K9" s="35" t="str">
        <f>K72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2.68283535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358</v>
      </c>
      <c r="G11" s="40">
        <f>E20+G10</f>
        <v>351.81</v>
      </c>
      <c r="H11" s="188">
        <f>SUM(H7:H10)</f>
        <v>264.47842416999998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107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43.29516143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17.97816143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348.81</v>
      </c>
      <c r="F20" s="171" t="s">
        <v>21</v>
      </c>
      <c r="G20" s="4">
        <v>355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262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249.3447256841834</v>
      </c>
      <c r="G25" s="18" t="e">
        <f>G33+G43+G52+G59+G63</f>
        <v>#REF!</v>
      </c>
      <c r="H25" s="18">
        <f>SUM(H26:H31)+SUM(H36:H41)+SUM(H45:H51)+SUM(H55:H58)+SUM(H61:H62)</f>
        <v>178.67258881999999</v>
      </c>
      <c r="I25" s="19"/>
      <c r="J25" s="20"/>
      <c r="K25" s="21" t="s">
        <v>108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76.75189515610947</v>
      </c>
      <c r="G26" s="56" t="e">
        <f>L26</f>
        <v>#REF!</v>
      </c>
      <c r="H26" s="263">
        <v>55.23</v>
      </c>
      <c r="I26" s="57">
        <v>16.399999999999999</v>
      </c>
      <c r="J26" s="58">
        <v>10.7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14.47513812154696</v>
      </c>
      <c r="G27" s="56" t="e">
        <f t="shared" ref="G27:G68" si="0">L27</f>
        <v>#REF!</v>
      </c>
      <c r="H27" s="263">
        <v>13.45837</v>
      </c>
      <c r="I27" s="66">
        <v>21.7</v>
      </c>
      <c r="J27" s="67">
        <v>9.6999999999999993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0.40395734292689189</v>
      </c>
      <c r="G29" s="56" t="e">
        <f t="shared" si="0"/>
        <v>#REF!</v>
      </c>
      <c r="H29" s="263">
        <v>0</v>
      </c>
      <c r="I29" s="66">
        <v>23.2</v>
      </c>
      <c r="J29" s="67">
        <v>0</v>
      </c>
      <c r="K29" s="75" t="s">
        <v>27</v>
      </c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38.712578697160474</v>
      </c>
      <c r="G30" s="56" t="e">
        <f>L30</f>
        <v>#REF!</v>
      </c>
      <c r="H30" s="263">
        <v>27.291350950000002</v>
      </c>
      <c r="I30" s="66">
        <v>20</v>
      </c>
      <c r="J30" s="67">
        <v>14.2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94.256713349608106</v>
      </c>
      <c r="G31" s="56" t="e">
        <f t="shared" si="0"/>
        <v>#REF!</v>
      </c>
      <c r="H31" s="263">
        <v>62.298999999999999</v>
      </c>
      <c r="I31" s="66">
        <v>17.5</v>
      </c>
      <c r="J31" s="67" t="s">
        <v>106</v>
      </c>
      <c r="K31" s="68"/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168.27872095000001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1.6831555955287163</v>
      </c>
      <c r="G36" s="56" t="e">
        <f t="shared" si="0"/>
        <v>#REF!</v>
      </c>
      <c r="H36" s="263">
        <v>1.84171452</v>
      </c>
      <c r="I36" s="99">
        <v>23</v>
      </c>
      <c r="J36" s="100">
        <v>23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0.23564178337402025</v>
      </c>
      <c r="G37" s="56" t="e">
        <f t="shared" si="0"/>
        <v>#REF!</v>
      </c>
      <c r="H37" s="263">
        <v>6.2780299999999997E-2</v>
      </c>
      <c r="I37" s="66">
        <v>23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0.23564178337402025</v>
      </c>
      <c r="G38" s="56" t="e">
        <f t="shared" si="0"/>
        <v>#REF!</v>
      </c>
      <c r="H38" s="263">
        <v>0.16247516000000001</v>
      </c>
      <c r="I38" s="66">
        <v>23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0.33663111910574328</v>
      </c>
      <c r="G39" s="56" t="e">
        <f t="shared" si="0"/>
        <v>#REF!</v>
      </c>
      <c r="H39" s="264">
        <v>0.2769143</v>
      </c>
      <c r="I39" s="66">
        <v>21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0.16831555955287164</v>
      </c>
      <c r="G40" s="56" t="e">
        <f t="shared" si="0"/>
        <v>#REF!</v>
      </c>
      <c r="H40" s="263">
        <v>5.4603159999999998E-2</v>
      </c>
      <c r="I40" s="66">
        <v>23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0.33663111910574328</v>
      </c>
      <c r="G41" s="56" t="e">
        <f t="shared" si="0"/>
        <v>#REF!</v>
      </c>
      <c r="H41" s="263">
        <v>0</v>
      </c>
      <c r="I41" s="66">
        <v>23</v>
      </c>
      <c r="J41" s="67">
        <v>4</v>
      </c>
      <c r="K41" s="75" t="s">
        <v>44</v>
      </c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2.3984874400000002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0.84157779776435815</v>
      </c>
      <c r="G45" s="56" t="e">
        <f t="shared" si="0"/>
        <v>#REF!</v>
      </c>
      <c r="H45" s="269">
        <v>0.71568120000000002</v>
      </c>
      <c r="I45" s="99">
        <v>16.399999999999999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1.3465244764229731</v>
      </c>
      <c r="G46" s="56" t="e">
        <f t="shared" si="0"/>
        <v>#REF!</v>
      </c>
      <c r="H46" s="265">
        <v>0.99976569999999998</v>
      </c>
      <c r="I46" s="87">
        <v>18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1.0098933573172297</v>
      </c>
      <c r="G47" s="56" t="e">
        <f t="shared" si="0"/>
        <v>#REF!</v>
      </c>
      <c r="H47" s="265">
        <v>0.33941922000000002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0.30296800719516892</v>
      </c>
      <c r="G48" s="56" t="e">
        <f t="shared" si="0"/>
        <v>#REF!</v>
      </c>
      <c r="H48" s="263">
        <v>0.15929905999999999</v>
      </c>
      <c r="I48" s="66">
        <v>16.8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5.0494667865861487E-2</v>
      </c>
      <c r="G49" s="56" t="e">
        <f t="shared" si="0"/>
        <v>#REF!</v>
      </c>
      <c r="H49" s="71">
        <v>7.4109000000000002E-4</v>
      </c>
      <c r="I49" s="66">
        <v>18</v>
      </c>
      <c r="J49" s="67">
        <v>1.7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5.0494667865861487E-2</v>
      </c>
      <c r="G50" s="56" t="e">
        <f t="shared" si="0"/>
        <v>#REF!</v>
      </c>
      <c r="H50" s="71">
        <v>0</v>
      </c>
      <c r="I50" s="66">
        <v>20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1.3465244764229731</v>
      </c>
      <c r="G51" s="56" t="e">
        <f t="shared" si="0"/>
        <v>#REF!</v>
      </c>
      <c r="H51" s="159">
        <v>4.0452219999999997E-2</v>
      </c>
      <c r="I51" s="123">
        <v>18.600000000000001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266"/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1.0098933573172297</v>
      </c>
      <c r="G55" s="209" t="e">
        <f>L55</f>
        <v>#REF!</v>
      </c>
      <c r="H55" s="135">
        <v>1.4838820399999999</v>
      </c>
      <c r="I55" s="57">
        <v>22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1.0098933573172297</v>
      </c>
      <c r="G56" s="273" t="e">
        <f>L56</f>
        <v>#REF!</v>
      </c>
      <c r="H56" s="271">
        <v>0.31048142000000001</v>
      </c>
      <c r="I56" s="192">
        <v>22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0.16831555955287164</v>
      </c>
      <c r="G57" s="273" t="e">
        <f>L57</f>
        <v>#REF!</v>
      </c>
      <c r="H57" s="271">
        <v>0</v>
      </c>
      <c r="I57" s="192">
        <v>22</v>
      </c>
      <c r="J57" s="100">
        <v>0</v>
      </c>
      <c r="K57" s="75" t="s">
        <v>27</v>
      </c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1.79436346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1.2455351406912503</v>
      </c>
      <c r="G61" s="238" t="e">
        <f>L61</f>
        <v>#REF!</v>
      </c>
      <c r="H61" s="135">
        <v>1.02157148</v>
      </c>
      <c r="I61" s="57">
        <v>20.5</v>
      </c>
      <c r="J61" s="136">
        <v>5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3.3663111910574326</v>
      </c>
      <c r="G62" s="56" t="e">
        <f>L62</f>
        <v>#REF!</v>
      </c>
      <c r="H62" s="71">
        <v>2.9240870000000001</v>
      </c>
      <c r="I62" s="66">
        <v>22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3.9456584800000001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95.219709623538478</v>
      </c>
      <c r="G65" s="26" t="e">
        <f>SUM(G66:G71)</f>
        <v>#REF!</v>
      </c>
      <c r="H65" s="26">
        <f>SUM(H66:H71)</f>
        <v>77.054000000000002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30.510999999999999</v>
      </c>
      <c r="I66" s="57">
        <v>31</v>
      </c>
      <c r="J66" s="136">
        <v>30</v>
      </c>
      <c r="K66" s="180" t="s">
        <v>99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0.26930489528459461</v>
      </c>
      <c r="G67" s="273" t="e">
        <f t="shared" si="0"/>
        <v>#REF!</v>
      </c>
      <c r="H67" s="71">
        <v>0.23699999999999999</v>
      </c>
      <c r="I67" s="66">
        <v>31</v>
      </c>
      <c r="J67" s="139">
        <v>29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0.84157779776435815</v>
      </c>
      <c r="G68" s="273" t="e">
        <f t="shared" si="0"/>
        <v>#REF!</v>
      </c>
      <c r="H68" s="71">
        <v>1.1539999999999999</v>
      </c>
      <c r="I68" s="66">
        <v>32</v>
      </c>
      <c r="J68" s="139">
        <v>32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30.5</v>
      </c>
      <c r="J69" s="139">
        <v>25.5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4.0395734292689189</v>
      </c>
      <c r="G70" s="273" t="e">
        <f t="shared" si="5"/>
        <v>#REF!</v>
      </c>
      <c r="H70" s="71">
        <v>4.1280000000000001</v>
      </c>
      <c r="I70" s="66">
        <v>32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7.0692535012206088</v>
      </c>
      <c r="G71" s="190" t="e">
        <f t="shared" si="5"/>
        <v>#REF!</v>
      </c>
      <c r="H71" s="165">
        <v>8.0239999999999991</v>
      </c>
      <c r="I71" s="87">
        <v>31</v>
      </c>
      <c r="J71" s="155">
        <v>4.4000000000000004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9.5939868945136837</v>
      </c>
      <c r="G72" s="32" t="e">
        <f>SUM(G73:G77)</f>
        <v>#REF!</v>
      </c>
      <c r="H72" s="32">
        <f>SUM(H73:H77)</f>
        <v>6.069</v>
      </c>
      <c r="I72" s="33"/>
      <c r="J72" s="34"/>
      <c r="K72" s="35" t="s">
        <v>84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1.6831555955287163</v>
      </c>
      <c r="G73" s="56" t="e">
        <f t="shared" si="5"/>
        <v>#REF!</v>
      </c>
      <c r="H73" s="135">
        <v>2.75</v>
      </c>
      <c r="I73" s="57">
        <v>45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2.3564178337402026</v>
      </c>
      <c r="G74" s="56" t="e">
        <f t="shared" si="5"/>
        <v>#REF!</v>
      </c>
      <c r="H74" s="71">
        <v>0.65300000000000002</v>
      </c>
      <c r="I74" s="66">
        <v>41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0.50494667865861487</v>
      </c>
      <c r="G75" s="56" t="e">
        <f t="shared" si="5"/>
        <v>#REF!</v>
      </c>
      <c r="H75" s="71">
        <v>0.876</v>
      </c>
      <c r="I75" s="66">
        <v>40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5.0494667865861489</v>
      </c>
      <c r="G77" s="56" t="e">
        <f t="shared" si="5"/>
        <v>#REF!</v>
      </c>
      <c r="H77" s="150">
        <v>1.79</v>
      </c>
      <c r="I77" s="143">
        <v>49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2.68283535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2.68283535</v>
      </c>
      <c r="I79" s="153">
        <v>48.08</v>
      </c>
      <c r="J79" s="154">
        <v>31.25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48.08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264.47842416999998</v>
      </c>
      <c r="I84" s="291"/>
      <c r="J84" s="292"/>
      <c r="K84" s="187">
        <f>H11-G11</f>
        <v>-87.33157583000002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43.29516143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10.97</v>
      </c>
      <c r="I87" s="153">
        <v>40.18</v>
      </c>
      <c r="J87" s="153">
        <f>I87</f>
        <v>40.18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7.9781614300000001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12.347</v>
      </c>
      <c r="I90" s="66">
        <f>I69</f>
        <v>30.5</v>
      </c>
      <c r="J90" s="66">
        <f>J69</f>
        <v>25.5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31</v>
      </c>
      <c r="J91" s="143">
        <f>J66</f>
        <v>30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17.97816143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262</v>
      </c>
      <c r="G95" s="167" t="e">
        <f>F84-(F79+F76+F28+F66+F69+#REF!)</f>
        <v>#REF!</v>
      </c>
      <c r="L95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6:D86"/>
    <mergeCell ref="B93:D93"/>
    <mergeCell ref="K23:K24"/>
    <mergeCell ref="E79:E81"/>
    <mergeCell ref="B84:D84"/>
    <mergeCell ref="I84:J8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95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355.84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263.04766799434663</v>
      </c>
      <c r="G7" s="18" t="e">
        <f>G25</f>
        <v>#REF!</v>
      </c>
      <c r="H7" s="259">
        <f>H25</f>
        <v>182.30055888999999</v>
      </c>
      <c r="I7" s="19"/>
      <c r="J7" s="20"/>
      <c r="K7" s="21" t="str">
        <f>K25</f>
        <v>91 Stations on stream, 4 on shutdown, 10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95.919311319542601</v>
      </c>
      <c r="G8" s="26" t="e">
        <f>G65</f>
        <v>#REF!</v>
      </c>
      <c r="H8" s="260">
        <f>H65</f>
        <v>82.757000000000005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10.143260953359885</v>
      </c>
      <c r="G9" s="32" t="e">
        <f>G72</f>
        <v>#REF!</v>
      </c>
      <c r="H9" s="261">
        <f>H72</f>
        <v>6.8539999999999992</v>
      </c>
      <c r="I9" s="33"/>
      <c r="J9" s="34"/>
      <c r="K9" s="35" t="str">
        <f>K72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2.4590846599999998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373</v>
      </c>
      <c r="G11" s="40">
        <f>E20+G10</f>
        <v>355.84</v>
      </c>
      <c r="H11" s="188">
        <f>SUM(H7:H10)</f>
        <v>274.37064354999995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110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47.907546959999998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21.07254696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352.84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263.04766799434663</v>
      </c>
      <c r="G25" s="18" t="e">
        <f>G33+G43+G52+G59+G63</f>
        <v>#REF!</v>
      </c>
      <c r="H25" s="18">
        <f>SUM(H26:H31)+SUM(H36:H41)+SUM(H45:H51)+SUM(H55:H58)+SUM(H61:H62)</f>
        <v>182.30055888999999</v>
      </c>
      <c r="I25" s="19"/>
      <c r="J25" s="20"/>
      <c r="K25" s="21" t="s">
        <v>111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81.146087626879094</v>
      </c>
      <c r="G26" s="56" t="e">
        <f>L26</f>
        <v>#REF!</v>
      </c>
      <c r="H26" s="263">
        <v>57.35</v>
      </c>
      <c r="I26" s="57">
        <v>17.399999999999999</v>
      </c>
      <c r="J26" s="58">
        <v>11.7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15.303867403314916</v>
      </c>
      <c r="G27" s="56" t="e">
        <f t="shared" ref="G27:G68" si="0">L27</f>
        <v>#REF!</v>
      </c>
      <c r="H27" s="263">
        <v>14.902014169999999</v>
      </c>
      <c r="I27" s="66">
        <v>22.9</v>
      </c>
      <c r="J27" s="67">
        <v>9.8000000000000007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0.4270846717204162</v>
      </c>
      <c r="G29" s="56" t="e">
        <f t="shared" si="0"/>
        <v>#REF!</v>
      </c>
      <c r="H29" s="263">
        <v>0</v>
      </c>
      <c r="I29" s="66">
        <v>24.7</v>
      </c>
      <c r="J29" s="67">
        <v>0</v>
      </c>
      <c r="K29" s="75" t="s">
        <v>27</v>
      </c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40.928947706539894</v>
      </c>
      <c r="G30" s="56" t="e">
        <f>L30</f>
        <v>#REF!</v>
      </c>
      <c r="H30" s="263">
        <v>27.946368530000001</v>
      </c>
      <c r="I30" s="66">
        <v>22</v>
      </c>
      <c r="J30" s="67">
        <v>14.3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99.653090068097129</v>
      </c>
      <c r="G31" s="56" t="e">
        <f t="shared" si="0"/>
        <v>#REF!</v>
      </c>
      <c r="H31" s="263">
        <v>63.136000000000003</v>
      </c>
      <c r="I31" s="66">
        <v>17.7</v>
      </c>
      <c r="J31" s="67" t="s">
        <v>109</v>
      </c>
      <c r="K31" s="68"/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173.33438269999999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1.7795194655017343</v>
      </c>
      <c r="G36" s="56" t="e">
        <f t="shared" si="0"/>
        <v>#REF!</v>
      </c>
      <c r="H36" s="263">
        <v>1.8008487</v>
      </c>
      <c r="I36" s="99">
        <v>21</v>
      </c>
      <c r="J36" s="100">
        <v>21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0.24913272517024279</v>
      </c>
      <c r="G37" s="56" t="e">
        <f t="shared" si="0"/>
        <v>#REF!</v>
      </c>
      <c r="H37" s="263">
        <v>0.22279309999999999</v>
      </c>
      <c r="I37" s="66">
        <v>22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0.24913272517024279</v>
      </c>
      <c r="G38" s="56" t="e">
        <f t="shared" si="0"/>
        <v>#REF!</v>
      </c>
      <c r="H38" s="263">
        <v>0.21001079</v>
      </c>
      <c r="I38" s="66">
        <v>21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0.35590389310034687</v>
      </c>
      <c r="G39" s="56" t="e">
        <f t="shared" si="0"/>
        <v>#REF!</v>
      </c>
      <c r="H39" s="264">
        <v>0.26108999999999999</v>
      </c>
      <c r="I39" s="66">
        <v>22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0.17795194655017343</v>
      </c>
      <c r="G40" s="56" t="e">
        <f t="shared" si="0"/>
        <v>#REF!</v>
      </c>
      <c r="H40" s="263">
        <v>7.6284630000000006E-2</v>
      </c>
      <c r="I40" s="66">
        <v>24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0.35590389310034687</v>
      </c>
      <c r="G41" s="56" t="e">
        <f t="shared" si="0"/>
        <v>#REF!</v>
      </c>
      <c r="H41" s="263">
        <v>0</v>
      </c>
      <c r="I41" s="66">
        <v>21</v>
      </c>
      <c r="J41" s="67">
        <v>4</v>
      </c>
      <c r="K41" s="75" t="s">
        <v>44</v>
      </c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2.5710272199999999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0.88975973275086717</v>
      </c>
      <c r="G45" s="56" t="e">
        <f t="shared" si="0"/>
        <v>#REF!</v>
      </c>
      <c r="H45" s="269">
        <v>0.76861619999999997</v>
      </c>
      <c r="I45" s="99">
        <v>17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1.4236155724013875</v>
      </c>
      <c r="G46" s="56" t="e">
        <f t="shared" si="0"/>
        <v>#REF!</v>
      </c>
      <c r="H46" s="265">
        <v>1.0555239000000001</v>
      </c>
      <c r="I46" s="87">
        <v>18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1.0677116793010406</v>
      </c>
      <c r="G47" s="56" t="e">
        <f t="shared" si="0"/>
        <v>#REF!</v>
      </c>
      <c r="H47" s="265">
        <v>0.32883222000000001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0.3203135037903122</v>
      </c>
      <c r="G48" s="56" t="e">
        <f t="shared" si="0"/>
        <v>#REF!</v>
      </c>
      <c r="H48" s="263">
        <v>0.20866977</v>
      </c>
      <c r="I48" s="66">
        <v>16.399999999999999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5.3385583965052025E-2</v>
      </c>
      <c r="G49" s="56" t="e">
        <f t="shared" si="0"/>
        <v>#REF!</v>
      </c>
      <c r="H49" s="71">
        <v>3.6807470000000002E-2</v>
      </c>
      <c r="I49" s="66">
        <v>18</v>
      </c>
      <c r="J49" s="67">
        <v>1.7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5.3385583965052025E-2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1.4236155724013875</v>
      </c>
      <c r="G51" s="56" t="e">
        <f t="shared" si="0"/>
        <v>#REF!</v>
      </c>
      <c r="H51" s="159">
        <v>0.15095827000000001</v>
      </c>
      <c r="I51" s="123">
        <v>17.399999999999999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266"/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1.0677116793010406</v>
      </c>
      <c r="G55" s="209" t="e">
        <f>L55</f>
        <v>#REF!</v>
      </c>
      <c r="H55" s="135">
        <v>1.6796490799999999</v>
      </c>
      <c r="I55" s="57">
        <v>20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1.0677116793010406</v>
      </c>
      <c r="G56" s="273" t="e">
        <f>L56</f>
        <v>#REF!</v>
      </c>
      <c r="H56" s="271">
        <v>0.70654108999999998</v>
      </c>
      <c r="I56" s="192">
        <v>20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0.17795194655017343</v>
      </c>
      <c r="G57" s="273" t="e">
        <f>L57</f>
        <v>#REF!</v>
      </c>
      <c r="H57" s="271">
        <v>4.195981E-2</v>
      </c>
      <c r="I57" s="192">
        <v>20</v>
      </c>
      <c r="J57" s="100">
        <v>3.9</v>
      </c>
      <c r="K57" s="75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2.4281499799999997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1.3168444044712835</v>
      </c>
      <c r="G61" s="238" t="e">
        <f>L61</f>
        <v>#REF!</v>
      </c>
      <c r="H61" s="135">
        <v>1.1368121600000001</v>
      </c>
      <c r="I61" s="57">
        <v>19.8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3.5590389310034687</v>
      </c>
      <c r="G62" s="56" t="e">
        <f>L62</f>
        <v>#REF!</v>
      </c>
      <c r="H62" s="71">
        <v>0.280779</v>
      </c>
      <c r="I62" s="66">
        <v>21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1.4175911600000002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95.919311319542601</v>
      </c>
      <c r="G65" s="26" t="e">
        <f>SUM(G66:G71)</f>
        <v>#REF!</v>
      </c>
      <c r="H65" s="26">
        <f>SUM(H66:H71)</f>
        <v>82.757000000000005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36.652000000000001</v>
      </c>
      <c r="I66" s="57">
        <v>31</v>
      </c>
      <c r="J66" s="136">
        <v>29</v>
      </c>
      <c r="K66" s="180" t="s">
        <v>99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0.28472311448027754</v>
      </c>
      <c r="G67" s="273" t="e">
        <f t="shared" si="0"/>
        <v>#REF!</v>
      </c>
      <c r="H67" s="71">
        <v>0.22900000000000001</v>
      </c>
      <c r="I67" s="66">
        <v>31</v>
      </c>
      <c r="J67" s="139">
        <v>29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0.88975973275086717</v>
      </c>
      <c r="G68" s="273" t="e">
        <f t="shared" si="0"/>
        <v>#REF!</v>
      </c>
      <c r="H68" s="71">
        <v>1.0029999999999999</v>
      </c>
      <c r="I68" s="66">
        <v>33</v>
      </c>
      <c r="J68" s="139">
        <v>33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32</v>
      </c>
      <c r="J69" s="139">
        <v>25.4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4.2708467172041624</v>
      </c>
      <c r="G70" s="273" t="e">
        <f t="shared" si="5"/>
        <v>#REF!</v>
      </c>
      <c r="H70" s="71">
        <v>4.1879999999999997</v>
      </c>
      <c r="I70" s="66">
        <v>33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7.4739817551072845</v>
      </c>
      <c r="G71" s="190" t="e">
        <f t="shared" si="5"/>
        <v>#REF!</v>
      </c>
      <c r="H71" s="165">
        <v>7.6849999999999996</v>
      </c>
      <c r="I71" s="87">
        <v>33</v>
      </c>
      <c r="J71" s="155">
        <v>4.5999999999999996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10.143260953359885</v>
      </c>
      <c r="G72" s="32" t="e">
        <f>SUM(G73:G77)</f>
        <v>#REF!</v>
      </c>
      <c r="H72" s="32">
        <f>SUM(H73:H77)</f>
        <v>6.8539999999999992</v>
      </c>
      <c r="I72" s="33"/>
      <c r="J72" s="34"/>
      <c r="K72" s="35" t="s">
        <v>84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1.7795194655017343</v>
      </c>
      <c r="G73" s="56" t="e">
        <f t="shared" si="5"/>
        <v>#REF!</v>
      </c>
      <c r="H73" s="135">
        <v>2.742</v>
      </c>
      <c r="I73" s="57">
        <v>46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2.4913272517024283</v>
      </c>
      <c r="G74" s="56" t="e">
        <f t="shared" si="5"/>
        <v>#REF!</v>
      </c>
      <c r="H74" s="71">
        <v>0.65300000000000002</v>
      </c>
      <c r="I74" s="66">
        <v>40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0.5338558396505203</v>
      </c>
      <c r="G75" s="56" t="e">
        <f t="shared" si="5"/>
        <v>#REF!</v>
      </c>
      <c r="H75" s="71">
        <v>0.66</v>
      </c>
      <c r="I75" s="66">
        <v>40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5.3385583965052028</v>
      </c>
      <c r="G77" s="56" t="e">
        <f t="shared" si="5"/>
        <v>#REF!</v>
      </c>
      <c r="H77" s="150">
        <v>2.7989999999999999</v>
      </c>
      <c r="I77" s="143">
        <v>49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2.4590846599999998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2.4590846599999998</v>
      </c>
      <c r="I79" s="153">
        <v>43.75</v>
      </c>
      <c r="J79" s="154">
        <v>31.58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43.75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274.37064354999995</v>
      </c>
      <c r="I84" s="291"/>
      <c r="J84" s="292"/>
      <c r="K84" s="187">
        <f>H11-G11</f>
        <v>-81.469356450000021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47.907546959999998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12.651</v>
      </c>
      <c r="I87" s="153">
        <v>40.51</v>
      </c>
      <c r="J87" s="153">
        <f>I87</f>
        <v>40.51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11.07254696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12.183999999999999</v>
      </c>
      <c r="I90" s="66">
        <f>I69</f>
        <v>32</v>
      </c>
      <c r="J90" s="66">
        <f>J69</f>
        <v>25.4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31</v>
      </c>
      <c r="J91" s="143">
        <f>J66</f>
        <v>29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21.07254696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277</v>
      </c>
      <c r="G95" s="167" t="e">
        <f>F84-(F79+F76+F28+F66+F69+#REF!)</f>
        <v>#REF!</v>
      </c>
      <c r="L95" s="7"/>
    </row>
  </sheetData>
  <mergeCells count="32">
    <mergeCell ref="B86:D86"/>
    <mergeCell ref="B93:D93"/>
    <mergeCell ref="K23:K24"/>
    <mergeCell ref="E79:E81"/>
    <mergeCell ref="B84:D84"/>
    <mergeCell ref="I84:J8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95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361.97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263.04766799434663</v>
      </c>
      <c r="G7" s="18" t="e">
        <f>G25</f>
        <v>#REF!</v>
      </c>
      <c r="H7" s="259">
        <f>H25</f>
        <v>180.08530873000004</v>
      </c>
      <c r="I7" s="19"/>
      <c r="J7" s="20"/>
      <c r="K7" s="21" t="str">
        <f>K25</f>
        <v>91 Stations on stream, 4 on shutdown, 10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95.919311319542601</v>
      </c>
      <c r="G8" s="26" t="e">
        <f>G65</f>
        <v>#REF!</v>
      </c>
      <c r="H8" s="260">
        <f>H65</f>
        <v>88.27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10.143260953359885</v>
      </c>
      <c r="G9" s="32" t="e">
        <f>G72</f>
        <v>#REF!</v>
      </c>
      <c r="H9" s="261">
        <f>H72</f>
        <v>6.7420000000000009</v>
      </c>
      <c r="I9" s="33"/>
      <c r="J9" s="34"/>
      <c r="K9" s="35" t="str">
        <f>K72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1.952755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373</v>
      </c>
      <c r="G11" s="40">
        <f>E20+G10</f>
        <v>361.97</v>
      </c>
      <c r="H11" s="188">
        <f>SUM(H7:H10)</f>
        <v>277.05006373000009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114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48.49259515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21.221595149999999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358.97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263.04766799434663</v>
      </c>
      <c r="G25" s="18" t="e">
        <f>G33+G43+G52+G59+G63</f>
        <v>#REF!</v>
      </c>
      <c r="H25" s="18">
        <f>SUM(H26:H31)+SUM(H36:H41)+SUM(H45:H51)+SUM(H55:H58)+SUM(H61:H62)</f>
        <v>180.08530873000004</v>
      </c>
      <c r="I25" s="19"/>
      <c r="J25" s="20"/>
      <c r="K25" s="21" t="s">
        <v>111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81.146087626879094</v>
      </c>
      <c r="G26" s="56" t="e">
        <f>L26</f>
        <v>#REF!</v>
      </c>
      <c r="H26" s="263">
        <v>59.14</v>
      </c>
      <c r="I26" s="57">
        <v>20.8</v>
      </c>
      <c r="J26" s="58">
        <v>16.8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15.303867403314916</v>
      </c>
      <c r="G27" s="56" t="e">
        <f t="shared" ref="G27:G68" si="0">L27</f>
        <v>#REF!</v>
      </c>
      <c r="H27" s="263">
        <v>14.92505854</v>
      </c>
      <c r="I27" s="66">
        <v>25.2</v>
      </c>
      <c r="J27" s="67">
        <v>9.6999999999999993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0.4270846717204162</v>
      </c>
      <c r="G29" s="56" t="e">
        <f t="shared" si="0"/>
        <v>#REF!</v>
      </c>
      <c r="H29" s="263">
        <v>0.10679</v>
      </c>
      <c r="I29" s="66">
        <v>26.4</v>
      </c>
      <c r="J29" s="67">
        <v>16.399999999999999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40.928947706539894</v>
      </c>
      <c r="G30" s="56" t="e">
        <f>L30</f>
        <v>#REF!</v>
      </c>
      <c r="H30" s="263">
        <v>19.931809170000001</v>
      </c>
      <c r="I30" s="66">
        <v>23</v>
      </c>
      <c r="J30" s="67">
        <v>14.7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99.653090068097129</v>
      </c>
      <c r="G31" s="56" t="e">
        <f t="shared" si="0"/>
        <v>#REF!</v>
      </c>
      <c r="H31" s="263">
        <v>66.617000000000004</v>
      </c>
      <c r="I31" s="66">
        <v>19.7</v>
      </c>
      <c r="J31" s="67" t="s">
        <v>112</v>
      </c>
      <c r="K31" s="68"/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170.72065771000001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1.7795194655017343</v>
      </c>
      <c r="G36" s="56" t="e">
        <f t="shared" si="0"/>
        <v>#REF!</v>
      </c>
      <c r="H36" s="263">
        <v>1.83313905</v>
      </c>
      <c r="I36" s="99">
        <v>21</v>
      </c>
      <c r="J36" s="100">
        <v>21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0.24913272517024279</v>
      </c>
      <c r="G37" s="56" t="e">
        <f t="shared" si="0"/>
        <v>#REF!</v>
      </c>
      <c r="H37" s="263">
        <v>0.24425169999999999</v>
      </c>
      <c r="I37" s="66">
        <v>23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0.24913272517024279</v>
      </c>
      <c r="G38" s="56" t="e">
        <f t="shared" si="0"/>
        <v>#REF!</v>
      </c>
      <c r="H38" s="263">
        <v>0.22193880999999999</v>
      </c>
      <c r="I38" s="66">
        <v>21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0.35590389310034687</v>
      </c>
      <c r="G39" s="56" t="e">
        <f t="shared" si="0"/>
        <v>#REF!</v>
      </c>
      <c r="H39" s="264">
        <v>0.28468749999999998</v>
      </c>
      <c r="I39" s="66">
        <v>22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0.17795194655017343</v>
      </c>
      <c r="G40" s="56" t="e">
        <f t="shared" si="0"/>
        <v>#REF!</v>
      </c>
      <c r="H40" s="263">
        <v>7.2924310000000006E-2</v>
      </c>
      <c r="I40" s="66">
        <v>23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0.35590389310034687</v>
      </c>
      <c r="G41" s="56" t="e">
        <f t="shared" si="0"/>
        <v>#REF!</v>
      </c>
      <c r="H41" s="263">
        <v>7.7568699999999999E-3</v>
      </c>
      <c r="I41" s="66">
        <v>21</v>
      </c>
      <c r="J41" s="67">
        <v>4</v>
      </c>
      <c r="K41" s="75"/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2.6646982400000003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0.88975973275086717</v>
      </c>
      <c r="G45" s="56" t="e">
        <f t="shared" si="0"/>
        <v>#REF!</v>
      </c>
      <c r="H45" s="269">
        <v>0.76120529999999997</v>
      </c>
      <c r="I45" s="99">
        <v>17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1.4236155724013875</v>
      </c>
      <c r="G46" s="56" t="e">
        <f t="shared" si="0"/>
        <v>#REF!</v>
      </c>
      <c r="H46" s="265">
        <v>1.2736160999999999</v>
      </c>
      <c r="I46" s="87">
        <v>17.5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1.0677116793010406</v>
      </c>
      <c r="G47" s="56" t="e">
        <f t="shared" si="0"/>
        <v>#REF!</v>
      </c>
      <c r="H47" s="265">
        <v>0.34764179000000001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0.3203135037903122</v>
      </c>
      <c r="G48" s="56" t="e">
        <f t="shared" si="0"/>
        <v>#REF!</v>
      </c>
      <c r="H48" s="263">
        <v>0.28175536000000001</v>
      </c>
      <c r="I48" s="66">
        <v>16.7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5.3385583965052025E-2</v>
      </c>
      <c r="G49" s="56" t="e">
        <f t="shared" si="0"/>
        <v>#REF!</v>
      </c>
      <c r="H49" s="71">
        <v>4.0936399999999998E-2</v>
      </c>
      <c r="I49" s="66">
        <v>18.5</v>
      </c>
      <c r="J49" s="67">
        <v>1.7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5.3385583965052025E-2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1.4236155724013875</v>
      </c>
      <c r="G51" s="56" t="e">
        <f t="shared" si="0"/>
        <v>#REF!</v>
      </c>
      <c r="H51" s="159">
        <v>7.414888E-2</v>
      </c>
      <c r="I51" s="123">
        <v>17.600000000000001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172">
        <f>SUM(H45:H51)</f>
        <v>2.7793038299999999</v>
      </c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1.0677116793010406</v>
      </c>
      <c r="G55" s="209" t="e">
        <f>L55</f>
        <v>#REF!</v>
      </c>
      <c r="H55" s="135">
        <v>1.7936601299999999</v>
      </c>
      <c r="I55" s="57">
        <v>20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1.0677116793010406</v>
      </c>
      <c r="G56" s="273" t="e">
        <f>L56</f>
        <v>#REF!</v>
      </c>
      <c r="H56" s="271">
        <v>0.82483317</v>
      </c>
      <c r="I56" s="192">
        <v>20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0.17795194655017343</v>
      </c>
      <c r="G57" s="273" t="e">
        <f>L57</f>
        <v>#REF!</v>
      </c>
      <c r="H57" s="271">
        <v>4.0772100000000004E-3</v>
      </c>
      <c r="I57" s="192">
        <v>20</v>
      </c>
      <c r="J57" s="100">
        <v>3.9</v>
      </c>
      <c r="K57" s="75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2.6225705100000001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1.3168444044712835</v>
      </c>
      <c r="G61" s="238" t="e">
        <f>L61</f>
        <v>#REF!</v>
      </c>
      <c r="H61" s="135">
        <v>1.1742814399999999</v>
      </c>
      <c r="I61" s="57">
        <v>21.2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3.5590389310034687</v>
      </c>
      <c r="G62" s="56" t="e">
        <f>L62</f>
        <v>#REF!</v>
      </c>
      <c r="H62" s="71">
        <v>0.123797</v>
      </c>
      <c r="I62" s="66">
        <v>22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1.2980784399999998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95.919311319542601</v>
      </c>
      <c r="G65" s="26" t="e">
        <f>SUM(G66:G71)</f>
        <v>#REF!</v>
      </c>
      <c r="H65" s="26">
        <f>SUM(H66:H71)</f>
        <v>88.27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44.232999999999997</v>
      </c>
      <c r="I66" s="57">
        <v>25</v>
      </c>
      <c r="J66" s="136">
        <v>23</v>
      </c>
      <c r="K66" s="180" t="s">
        <v>113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0.28472311448027754</v>
      </c>
      <c r="G67" s="273" t="e">
        <f t="shared" si="0"/>
        <v>#REF!</v>
      </c>
      <c r="H67" s="71">
        <v>0.23499999999999999</v>
      </c>
      <c r="I67" s="66">
        <v>25</v>
      </c>
      <c r="J67" s="139">
        <v>24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0.88975973275086717</v>
      </c>
      <c r="G68" s="273" t="e">
        <f t="shared" si="0"/>
        <v>#REF!</v>
      </c>
      <c r="H68" s="71">
        <v>1.5229999999999999</v>
      </c>
      <c r="I68" s="66">
        <v>29</v>
      </c>
      <c r="J68" s="139">
        <v>29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28</v>
      </c>
      <c r="J69" s="139">
        <v>22.3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4.2708467172041624</v>
      </c>
      <c r="G70" s="273" t="e">
        <f t="shared" si="5"/>
        <v>#REF!</v>
      </c>
      <c r="H70" s="71">
        <v>3.875</v>
      </c>
      <c r="I70" s="66">
        <v>29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7.4739817551072845</v>
      </c>
      <c r="G71" s="190" t="e">
        <f t="shared" si="5"/>
        <v>#REF!</v>
      </c>
      <c r="H71" s="165">
        <v>5.4039999999999999</v>
      </c>
      <c r="I71" s="87">
        <v>27</v>
      </c>
      <c r="J71" s="155">
        <v>4.4000000000000004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10.143260953359885</v>
      </c>
      <c r="G72" s="32" t="e">
        <f>SUM(G73:G77)</f>
        <v>#REF!</v>
      </c>
      <c r="H72" s="32">
        <f>SUM(H73:H77)</f>
        <v>6.7420000000000009</v>
      </c>
      <c r="I72" s="33"/>
      <c r="J72" s="34"/>
      <c r="K72" s="35" t="s">
        <v>84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1.7795194655017343</v>
      </c>
      <c r="G73" s="56" t="e">
        <f t="shared" si="5"/>
        <v>#REF!</v>
      </c>
      <c r="H73" s="135">
        <v>2.7410000000000001</v>
      </c>
      <c r="I73" s="57">
        <v>49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2.4913272517024283</v>
      </c>
      <c r="G74" s="56" t="e">
        <f t="shared" si="5"/>
        <v>#REF!</v>
      </c>
      <c r="H74" s="71">
        <v>0.64500000000000002</v>
      </c>
      <c r="I74" s="66">
        <v>43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0.5338558396505203</v>
      </c>
      <c r="G75" s="56" t="e">
        <f t="shared" si="5"/>
        <v>#REF!</v>
      </c>
      <c r="H75" s="71">
        <v>0.7</v>
      </c>
      <c r="I75" s="66">
        <v>40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5.3385583965052028</v>
      </c>
      <c r="G77" s="56" t="e">
        <f t="shared" si="5"/>
        <v>#REF!</v>
      </c>
      <c r="H77" s="150">
        <v>2.6560000000000001</v>
      </c>
      <c r="I77" s="143">
        <v>52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1.952755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1.952755</v>
      </c>
      <c r="I79" s="153">
        <v>39.92</v>
      </c>
      <c r="J79" s="154">
        <v>31.75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39.92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277.05006373000009</v>
      </c>
      <c r="I84" s="291"/>
      <c r="J84" s="292"/>
      <c r="K84" s="187">
        <f>H11-G11</f>
        <v>-84.919936269999937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48.49259515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12.51</v>
      </c>
      <c r="I87" s="153">
        <v>43.55</v>
      </c>
      <c r="J87" s="153">
        <f>I87</f>
        <v>43.55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11.221595150000001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12.760999999999999</v>
      </c>
      <c r="I90" s="66">
        <f>I69</f>
        <v>28</v>
      </c>
      <c r="J90" s="66">
        <f>J69</f>
        <v>22.3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25</v>
      </c>
      <c r="J91" s="143">
        <f>J66</f>
        <v>23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21.221595149999999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277</v>
      </c>
      <c r="G95" s="167" t="e">
        <f>F84-(F79+F76+F28+F66+F69+#REF!)</f>
        <v>#REF!</v>
      </c>
      <c r="L95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6:D86"/>
    <mergeCell ref="B93:D93"/>
    <mergeCell ref="K23:K24"/>
    <mergeCell ref="E79:E81"/>
    <mergeCell ref="B84:D84"/>
    <mergeCell ref="I84:J8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95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367.85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263.04766799434663</v>
      </c>
      <c r="G7" s="18" t="e">
        <f>G25</f>
        <v>#REF!</v>
      </c>
      <c r="H7" s="259">
        <f>H25</f>
        <v>170.41094950999997</v>
      </c>
      <c r="I7" s="19"/>
      <c r="J7" s="20"/>
      <c r="K7" s="21" t="str">
        <f>K25</f>
        <v>92 Stations on stream, 4 on shutdown, 9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95.919311319542601</v>
      </c>
      <c r="G8" s="26" t="e">
        <f>G65</f>
        <v>#REF!</v>
      </c>
      <c r="H8" s="260">
        <f>H65</f>
        <v>87.572000000000003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10.143260953359885</v>
      </c>
      <c r="G9" s="32" t="e">
        <f>G72</f>
        <v>#REF!</v>
      </c>
      <c r="H9" s="261">
        <f>H72</f>
        <v>6.8170000000000002</v>
      </c>
      <c r="I9" s="33"/>
      <c r="J9" s="34"/>
      <c r="K9" s="35" t="str">
        <f>K72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1.94008088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373</v>
      </c>
      <c r="G11" s="40">
        <f>E20+G10</f>
        <v>367.85</v>
      </c>
      <c r="H11" s="188">
        <f>SUM(H7:H10)</f>
        <v>266.74003038999996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116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47.681818700000001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20.674818699999999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364.85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263.04766799434663</v>
      </c>
      <c r="G25" s="18" t="e">
        <f>G33+G43+G52+G59+G63</f>
        <v>#REF!</v>
      </c>
      <c r="H25" s="18">
        <f>SUM(H26:H31)+SUM(H36:H41)+SUM(H45:H51)+SUM(H55:H58)+SUM(H61:H62)</f>
        <v>170.41094950999997</v>
      </c>
      <c r="I25" s="19"/>
      <c r="J25" s="20"/>
      <c r="K25" s="21" t="s">
        <v>117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81.146087626879094</v>
      </c>
      <c r="G26" s="56" t="e">
        <f>L26</f>
        <v>#REF!</v>
      </c>
      <c r="H26" s="263">
        <v>54.82</v>
      </c>
      <c r="I26" s="57">
        <v>22.9</v>
      </c>
      <c r="J26" s="58">
        <v>17.7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15.303867403314916</v>
      </c>
      <c r="G27" s="56" t="e">
        <f t="shared" ref="G27:G68" si="0">L27</f>
        <v>#REF!</v>
      </c>
      <c r="H27" s="263">
        <v>14.530869239999999</v>
      </c>
      <c r="I27" s="66">
        <v>26.2</v>
      </c>
      <c r="J27" s="67">
        <v>9.6999999999999993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0.4270846717204162</v>
      </c>
      <c r="G29" s="56" t="e">
        <f t="shared" si="0"/>
        <v>#REF!</v>
      </c>
      <c r="H29" s="263">
        <v>8.4779999999999994E-2</v>
      </c>
      <c r="I29" s="66">
        <v>27.4</v>
      </c>
      <c r="J29" s="67">
        <v>19.7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40.928947706539894</v>
      </c>
      <c r="G30" s="56" t="e">
        <f>L30</f>
        <v>#REF!</v>
      </c>
      <c r="H30" s="263">
        <v>14.957277100000001</v>
      </c>
      <c r="I30" s="66">
        <v>24</v>
      </c>
      <c r="J30" s="67">
        <v>14.7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99.653090068097129</v>
      </c>
      <c r="G31" s="56" t="e">
        <f t="shared" si="0"/>
        <v>#REF!</v>
      </c>
      <c r="H31" s="263">
        <v>67.453000000000003</v>
      </c>
      <c r="I31" s="66">
        <v>21.1</v>
      </c>
      <c r="J31" s="67" t="s">
        <v>115</v>
      </c>
      <c r="K31" s="68"/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161.84592634000001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1.7795194655017343</v>
      </c>
      <c r="G36" s="56" t="e">
        <f t="shared" si="0"/>
        <v>#REF!</v>
      </c>
      <c r="H36" s="263">
        <v>1.6101768299999999</v>
      </c>
      <c r="I36" s="99">
        <v>23</v>
      </c>
      <c r="J36" s="100">
        <v>23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0.24913272517024279</v>
      </c>
      <c r="G37" s="56" t="e">
        <f t="shared" si="0"/>
        <v>#REF!</v>
      </c>
      <c r="H37" s="263">
        <v>0.17056959999999999</v>
      </c>
      <c r="I37" s="66">
        <v>23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0.24913272517024279</v>
      </c>
      <c r="G38" s="56" t="e">
        <f t="shared" si="0"/>
        <v>#REF!</v>
      </c>
      <c r="H38" s="263">
        <v>0.17976726000000001</v>
      </c>
      <c r="I38" s="66">
        <v>23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0.35590389310034687</v>
      </c>
      <c r="G39" s="56" t="e">
        <f t="shared" si="0"/>
        <v>#REF!</v>
      </c>
      <c r="H39" s="264">
        <v>0.28293190000000001</v>
      </c>
      <c r="I39" s="66">
        <v>22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0.17795194655017343</v>
      </c>
      <c r="G40" s="56" t="e">
        <f t="shared" si="0"/>
        <v>#REF!</v>
      </c>
      <c r="H40" s="263">
        <v>7.0081350000000001E-2</v>
      </c>
      <c r="I40" s="66">
        <v>24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0.35590389310034687</v>
      </c>
      <c r="G41" s="56" t="e">
        <f t="shared" si="0"/>
        <v>#REF!</v>
      </c>
      <c r="H41" s="263">
        <v>3.4968600000000001E-3</v>
      </c>
      <c r="I41" s="66">
        <v>23</v>
      </c>
      <c r="J41" s="67">
        <v>4</v>
      </c>
      <c r="K41" s="75"/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2.3170237999999999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0.88975973275086717</v>
      </c>
      <c r="G45" s="56" t="e">
        <f t="shared" si="0"/>
        <v>#REF!</v>
      </c>
      <c r="H45" s="269">
        <v>0.62205683000000001</v>
      </c>
      <c r="I45" s="99">
        <v>17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1.4236155724013875</v>
      </c>
      <c r="G46" s="56" t="e">
        <f t="shared" si="0"/>
        <v>#REF!</v>
      </c>
      <c r="H46" s="265">
        <v>1.01832824</v>
      </c>
      <c r="I46" s="87">
        <v>17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1.0677116793010406</v>
      </c>
      <c r="G47" s="56" t="e">
        <f t="shared" si="0"/>
        <v>#REF!</v>
      </c>
      <c r="H47" s="265">
        <v>0.38391990999999998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0.3203135037903122</v>
      </c>
      <c r="G48" s="56" t="e">
        <f t="shared" si="0"/>
        <v>#REF!</v>
      </c>
      <c r="H48" s="263">
        <v>0.23023196000000001</v>
      </c>
      <c r="I48" s="66">
        <v>16.5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5.3385583965052025E-2</v>
      </c>
      <c r="G49" s="56" t="e">
        <f t="shared" si="0"/>
        <v>#REF!</v>
      </c>
      <c r="H49" s="71">
        <v>4.0583500000000002E-2</v>
      </c>
      <c r="I49" s="66">
        <v>20</v>
      </c>
      <c r="J49" s="67">
        <v>1.7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5.3385583965052025E-2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1.4236155724013875</v>
      </c>
      <c r="G51" s="56" t="e">
        <f t="shared" si="0"/>
        <v>#REF!</v>
      </c>
      <c r="H51" s="159">
        <v>0.10213949</v>
      </c>
      <c r="I51" s="123">
        <v>17.5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172">
        <f>SUM(H45:H51)</f>
        <v>2.3972599300000001</v>
      </c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1.0677116793010406</v>
      </c>
      <c r="G55" s="209" t="e">
        <f>L55</f>
        <v>#REF!</v>
      </c>
      <c r="H55" s="135">
        <v>1.7695627</v>
      </c>
      <c r="I55" s="57">
        <v>22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1.0677116793010406</v>
      </c>
      <c r="G56" s="273" t="e">
        <f>L56</f>
        <v>#REF!</v>
      </c>
      <c r="H56" s="271">
        <v>0.86922798999999995</v>
      </c>
      <c r="I56" s="192">
        <v>23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0.17795194655017343</v>
      </c>
      <c r="G57" s="273" t="e">
        <f>L57</f>
        <v>#REF!</v>
      </c>
      <c r="H57" s="271">
        <v>5.0747019999999997E-2</v>
      </c>
      <c r="I57" s="192">
        <v>22</v>
      </c>
      <c r="J57" s="100">
        <v>3.9</v>
      </c>
      <c r="K57" s="75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2.6895377100000002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1.3168444044712835</v>
      </c>
      <c r="G61" s="238" t="e">
        <f>L61</f>
        <v>#REF!</v>
      </c>
      <c r="H61" s="135">
        <v>1.06473573</v>
      </c>
      <c r="I61" s="57">
        <v>20.5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3.5590389310034687</v>
      </c>
      <c r="G62" s="56" t="e">
        <f>L62</f>
        <v>#REF!</v>
      </c>
      <c r="H62" s="71">
        <v>9.6465999999999996E-2</v>
      </c>
      <c r="I62" s="66">
        <v>24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1.1612017299999999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95.919311319542601</v>
      </c>
      <c r="G65" s="26" t="e">
        <f>SUM(G66:G71)</f>
        <v>#REF!</v>
      </c>
      <c r="H65" s="26">
        <f>SUM(H66:H71)</f>
        <v>87.572000000000003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44.618000000000002</v>
      </c>
      <c r="I66" s="57">
        <v>23</v>
      </c>
      <c r="J66" s="136">
        <v>21</v>
      </c>
      <c r="K66" s="180" t="s">
        <v>113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0.28472311448027754</v>
      </c>
      <c r="G67" s="273" t="e">
        <f t="shared" si="0"/>
        <v>#REF!</v>
      </c>
      <c r="H67" s="71">
        <v>0.23400000000000001</v>
      </c>
      <c r="I67" s="66">
        <v>23</v>
      </c>
      <c r="J67" s="139">
        <v>22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0.88975973275086717</v>
      </c>
      <c r="G68" s="273" t="e">
        <f t="shared" si="0"/>
        <v>#REF!</v>
      </c>
      <c r="H68" s="71">
        <v>0.70099999999999996</v>
      </c>
      <c r="I68" s="66">
        <v>27</v>
      </c>
      <c r="J68" s="139">
        <v>26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24.5</v>
      </c>
      <c r="J69" s="139">
        <v>19.3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4.2708467172041624</v>
      </c>
      <c r="G70" s="273" t="e">
        <f t="shared" si="5"/>
        <v>#REF!</v>
      </c>
      <c r="H70" s="71">
        <v>3.7440000000000002</v>
      </c>
      <c r="I70" s="66">
        <v>27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7.4739817551072845</v>
      </c>
      <c r="G71" s="190" t="e">
        <f t="shared" si="5"/>
        <v>#REF!</v>
      </c>
      <c r="H71" s="165">
        <v>5.2750000000000004</v>
      </c>
      <c r="I71" s="87">
        <v>25</v>
      </c>
      <c r="J71" s="155">
        <v>2.2999999999999998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10.143260953359885</v>
      </c>
      <c r="G72" s="32" t="e">
        <f>SUM(G73:G77)</f>
        <v>#REF!</v>
      </c>
      <c r="H72" s="32">
        <f>SUM(H73:H77)</f>
        <v>6.8170000000000002</v>
      </c>
      <c r="I72" s="33"/>
      <c r="J72" s="34"/>
      <c r="K72" s="35" t="s">
        <v>84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1.7795194655017343</v>
      </c>
      <c r="G73" s="56" t="e">
        <f t="shared" si="5"/>
        <v>#REF!</v>
      </c>
      <c r="H73" s="135">
        <v>2.7149999999999999</v>
      </c>
      <c r="I73" s="57">
        <v>50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2.4913272517024283</v>
      </c>
      <c r="G74" s="56" t="e">
        <f t="shared" si="5"/>
        <v>#REF!</v>
      </c>
      <c r="H74" s="71">
        <v>0.66800000000000004</v>
      </c>
      <c r="I74" s="66">
        <v>44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0.5338558396505203</v>
      </c>
      <c r="G75" s="56" t="e">
        <f t="shared" si="5"/>
        <v>#REF!</v>
      </c>
      <c r="H75" s="71">
        <v>0.77600000000000002</v>
      </c>
      <c r="I75" s="66">
        <v>40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5.3385583965052028</v>
      </c>
      <c r="G77" s="56" t="e">
        <f t="shared" si="5"/>
        <v>#REF!</v>
      </c>
      <c r="H77" s="150">
        <v>2.6579999999999999</v>
      </c>
      <c r="I77" s="143">
        <v>53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1.94008088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1.94008088</v>
      </c>
      <c r="I79" s="153">
        <v>40.42</v>
      </c>
      <c r="J79" s="154">
        <v>31.33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40.42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266.74003038999996</v>
      </c>
      <c r="I84" s="291"/>
      <c r="J84" s="292"/>
      <c r="K84" s="187">
        <f>H11-G11</f>
        <v>-101.10996961000006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47.681818700000001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13.223000000000001</v>
      </c>
      <c r="I87" s="153">
        <v>44.77</v>
      </c>
      <c r="J87" s="153">
        <f>I87</f>
        <v>44.77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10.674818699999999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11.784000000000001</v>
      </c>
      <c r="I90" s="66">
        <f>I69</f>
        <v>24.5</v>
      </c>
      <c r="J90" s="66">
        <f>J69</f>
        <v>19.3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23</v>
      </c>
      <c r="J91" s="143">
        <f>J66</f>
        <v>21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20.674818699999999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277</v>
      </c>
      <c r="G95" s="167" t="e">
        <f>F84-(F79+F76+F28+F66+F69+#REF!)</f>
        <v>#REF!</v>
      </c>
      <c r="L95" s="7"/>
    </row>
  </sheetData>
  <mergeCells count="32">
    <mergeCell ref="B86:D86"/>
    <mergeCell ref="B93:D93"/>
    <mergeCell ref="K23:K24"/>
    <mergeCell ref="E79:E81"/>
    <mergeCell ref="B84:D84"/>
    <mergeCell ref="I84:J8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95"/>
  <sheetViews>
    <sheetView tabSelected="1" topLeftCell="A2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362.05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263.04766799434663</v>
      </c>
      <c r="G7" s="18" t="e">
        <f>G25</f>
        <v>#REF!</v>
      </c>
      <c r="H7" s="259">
        <f>H25</f>
        <v>169.24232198999997</v>
      </c>
      <c r="I7" s="19"/>
      <c r="J7" s="20"/>
      <c r="K7" s="21" t="str">
        <f>K25</f>
        <v>92 Stations on stream, 4 on shutdown, 9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95.919311319542601</v>
      </c>
      <c r="G8" s="26" t="e">
        <f>G65</f>
        <v>#REF!</v>
      </c>
      <c r="H8" s="260">
        <f>H65</f>
        <v>83.726000000000013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10.143260953359885</v>
      </c>
      <c r="G9" s="32" t="e">
        <f>G72</f>
        <v>#REF!</v>
      </c>
      <c r="H9" s="261">
        <f>H72</f>
        <v>7.1130000000000004</v>
      </c>
      <c r="I9" s="33"/>
      <c r="J9" s="34"/>
      <c r="K9" s="35" t="str">
        <f>K72</f>
        <v>10 Stations on stream, Life Flour Mill,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2.3748768999999998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373</v>
      </c>
      <c r="G11" s="40">
        <f>E20+G10</f>
        <v>362.05</v>
      </c>
      <c r="H11" s="188">
        <f>SUM(H7:H10)</f>
        <v>262.45619889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120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41.562195789999997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20.33819579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359.05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263.04766799434663</v>
      </c>
      <c r="G25" s="18" t="e">
        <f>G33+G43+G52+G59+G63</f>
        <v>#REF!</v>
      </c>
      <c r="H25" s="18">
        <f>SUM(H26:H31)+SUM(H36:H41)+SUM(H45:H51)+SUM(H55:H58)+SUM(H61:H62)</f>
        <v>169.24232198999997</v>
      </c>
      <c r="I25" s="19"/>
      <c r="J25" s="20"/>
      <c r="K25" s="21" t="s">
        <v>117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81.146087626879094</v>
      </c>
      <c r="G26" s="56" t="e">
        <f>L26</f>
        <v>#REF!</v>
      </c>
      <c r="H26" s="263">
        <v>53.97</v>
      </c>
      <c r="I26" s="57">
        <v>23.3</v>
      </c>
      <c r="J26" s="58">
        <v>18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15.303867403314916</v>
      </c>
      <c r="G27" s="56" t="e">
        <f t="shared" ref="G27:G68" si="0">L27</f>
        <v>#REF!</v>
      </c>
      <c r="H27" s="263">
        <v>14.13745632</v>
      </c>
      <c r="I27" s="66">
        <v>26.7</v>
      </c>
      <c r="J27" s="67">
        <v>9.6999999999999993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0.4270846717204162</v>
      </c>
      <c r="G29" s="56" t="e">
        <f t="shared" si="0"/>
        <v>#REF!</v>
      </c>
      <c r="H29" s="263">
        <v>6.7500000000000004E-2</v>
      </c>
      <c r="I29" s="66">
        <v>28</v>
      </c>
      <c r="J29" s="67">
        <v>16.8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40.928947706539894</v>
      </c>
      <c r="G30" s="56" t="e">
        <f>L30</f>
        <v>#REF!</v>
      </c>
      <c r="H30" s="263">
        <v>15.81551709</v>
      </c>
      <c r="I30" s="66">
        <v>24</v>
      </c>
      <c r="J30" s="67">
        <v>14.7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99.653090068097129</v>
      </c>
      <c r="G31" s="56" t="e">
        <f t="shared" si="0"/>
        <v>#REF!</v>
      </c>
      <c r="H31" s="263">
        <v>65.933999999999997</v>
      </c>
      <c r="I31" s="66">
        <v>21.2</v>
      </c>
      <c r="J31" s="67" t="s">
        <v>118</v>
      </c>
      <c r="K31" s="68"/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159.92447340999999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1.7795194655017343</v>
      </c>
      <c r="G36" s="56" t="e">
        <f t="shared" si="0"/>
        <v>#REF!</v>
      </c>
      <c r="H36" s="263">
        <v>1.8174702899999999</v>
      </c>
      <c r="I36" s="99">
        <v>24</v>
      </c>
      <c r="J36" s="100">
        <v>24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0.24913272517024279</v>
      </c>
      <c r="G37" s="56" t="e">
        <f t="shared" si="0"/>
        <v>#REF!</v>
      </c>
      <c r="H37" s="263">
        <v>0.25433869999999997</v>
      </c>
      <c r="I37" s="66">
        <v>23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0.24913272517024279</v>
      </c>
      <c r="G38" s="56" t="e">
        <f t="shared" si="0"/>
        <v>#REF!</v>
      </c>
      <c r="H38" s="263">
        <v>0.19102477000000001</v>
      </c>
      <c r="I38" s="66">
        <v>24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0.35590389310034687</v>
      </c>
      <c r="G39" s="56" t="e">
        <f t="shared" si="0"/>
        <v>#REF!</v>
      </c>
      <c r="H39" s="264">
        <v>0.28717589999999998</v>
      </c>
      <c r="I39" s="66">
        <v>22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0.17795194655017343</v>
      </c>
      <c r="G40" s="56" t="e">
        <f t="shared" si="0"/>
        <v>#REF!</v>
      </c>
      <c r="H40" s="263">
        <v>7.4978550000000005E-2</v>
      </c>
      <c r="I40" s="66">
        <v>24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0.35590389310034687</v>
      </c>
      <c r="G41" s="56" t="e">
        <f t="shared" si="0"/>
        <v>#REF!</v>
      </c>
      <c r="H41" s="263">
        <v>8.7269700000000006E-3</v>
      </c>
      <c r="I41" s="66">
        <v>24</v>
      </c>
      <c r="J41" s="67">
        <v>4</v>
      </c>
      <c r="K41" s="75"/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2.6337151799999998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0.88975973275086717</v>
      </c>
      <c r="G45" s="56" t="e">
        <f t="shared" si="0"/>
        <v>#REF!</v>
      </c>
      <c r="H45" s="269">
        <v>0.80824686999999995</v>
      </c>
      <c r="I45" s="99">
        <v>16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1.4236155724013875</v>
      </c>
      <c r="G46" s="56" t="e">
        <f t="shared" si="0"/>
        <v>#REF!</v>
      </c>
      <c r="H46" s="265">
        <v>1.2179990599999999</v>
      </c>
      <c r="I46" s="87">
        <v>16.5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1.0677116793010406</v>
      </c>
      <c r="G47" s="56" t="e">
        <f t="shared" si="0"/>
        <v>#REF!</v>
      </c>
      <c r="H47" s="265">
        <v>0.51745726999999997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0.3203135037903122</v>
      </c>
      <c r="G48" s="56" t="e">
        <f t="shared" si="0"/>
        <v>#REF!</v>
      </c>
      <c r="H48" s="263">
        <v>0.20838745</v>
      </c>
      <c r="I48" s="66">
        <v>16.8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5.3385583965052025E-2</v>
      </c>
      <c r="G49" s="56" t="e">
        <f t="shared" si="0"/>
        <v>#REF!</v>
      </c>
      <c r="H49" s="71">
        <v>4.0089439999999997E-2</v>
      </c>
      <c r="I49" s="66">
        <v>18</v>
      </c>
      <c r="J49" s="67">
        <v>1.7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5.3385583965052025E-2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1.4236155724013875</v>
      </c>
      <c r="G51" s="56" t="e">
        <f t="shared" si="0"/>
        <v>#REF!</v>
      </c>
      <c r="H51" s="159">
        <v>9.8092789999999999E-2</v>
      </c>
      <c r="I51" s="123">
        <v>17.600000000000001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172">
        <f>SUM(H45:H51)</f>
        <v>2.8902728799999999</v>
      </c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1.0677116793010406</v>
      </c>
      <c r="G55" s="209" t="e">
        <f>L55</f>
        <v>#REF!</v>
      </c>
      <c r="H55" s="135">
        <v>1.68070707</v>
      </c>
      <c r="I55" s="57">
        <v>24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1.0677116793010406</v>
      </c>
      <c r="G56" s="273" t="e">
        <f>L56</f>
        <v>#REF!</v>
      </c>
      <c r="H56" s="271">
        <v>0.85422973999999996</v>
      </c>
      <c r="I56" s="192">
        <v>25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0.17795194655017343</v>
      </c>
      <c r="G57" s="273" t="e">
        <f>L57</f>
        <v>#REF!</v>
      </c>
      <c r="H57" s="271">
        <v>4.6229899999999997E-2</v>
      </c>
      <c r="I57" s="192">
        <v>24</v>
      </c>
      <c r="J57" s="100">
        <v>3.9</v>
      </c>
      <c r="K57" s="75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2.5811667100000002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1.3168444044712835</v>
      </c>
      <c r="G61" s="238" t="e">
        <f>L61</f>
        <v>#REF!</v>
      </c>
      <c r="H61" s="135">
        <v>1.08629781</v>
      </c>
      <c r="I61" s="57">
        <v>22.7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3.5590389310034687</v>
      </c>
      <c r="G62" s="56" t="e">
        <f>L62</f>
        <v>#REF!</v>
      </c>
      <c r="H62" s="71">
        <v>0.12639600000000001</v>
      </c>
      <c r="I62" s="66">
        <v>25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1.21269381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95.919311319542601</v>
      </c>
      <c r="G65" s="26" t="e">
        <f>SUM(G66:G71)</f>
        <v>#REF!</v>
      </c>
      <c r="H65" s="26">
        <f>SUM(H66:H71)</f>
        <v>83.726000000000013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41.2</v>
      </c>
      <c r="I66" s="57">
        <v>22</v>
      </c>
      <c r="J66" s="136">
        <v>19</v>
      </c>
      <c r="K66" s="180" t="s">
        <v>113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0.28472311448027754</v>
      </c>
      <c r="G67" s="273" t="e">
        <f t="shared" si="0"/>
        <v>#REF!</v>
      </c>
      <c r="H67" s="71">
        <v>0.24</v>
      </c>
      <c r="I67" s="66">
        <v>22</v>
      </c>
      <c r="J67" s="139">
        <v>21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0.88975973275086717</v>
      </c>
      <c r="G68" s="273" t="e">
        <f t="shared" si="0"/>
        <v>#REF!</v>
      </c>
      <c r="H68" s="71">
        <v>1.0369999999999999</v>
      </c>
      <c r="I68" s="66">
        <v>26</v>
      </c>
      <c r="J68" s="139">
        <v>25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24</v>
      </c>
      <c r="J69" s="139">
        <v>19.600000000000001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4.2708467172041624</v>
      </c>
      <c r="G70" s="273" t="e">
        <f t="shared" si="5"/>
        <v>#REF!</v>
      </c>
      <c r="H70" s="71">
        <v>3.79</v>
      </c>
      <c r="I70" s="66">
        <v>26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7.4739817551072845</v>
      </c>
      <c r="G71" s="190" t="e">
        <f t="shared" si="5"/>
        <v>#REF!</v>
      </c>
      <c r="H71" s="165">
        <v>4.4589999999999996</v>
      </c>
      <c r="I71" s="87">
        <v>24</v>
      </c>
      <c r="J71" s="155">
        <v>3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10.143260953359885</v>
      </c>
      <c r="G72" s="32" t="e">
        <f>SUM(G73:G77)</f>
        <v>#REF!</v>
      </c>
      <c r="H72" s="32">
        <f>SUM(H73:H77)</f>
        <v>7.1130000000000004</v>
      </c>
      <c r="I72" s="33"/>
      <c r="J72" s="34"/>
      <c r="K72" s="35" t="s">
        <v>119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1.7795194655017343</v>
      </c>
      <c r="G73" s="56" t="e">
        <f t="shared" si="5"/>
        <v>#REF!</v>
      </c>
      <c r="H73" s="135">
        <v>2.7480000000000002</v>
      </c>
      <c r="I73" s="57">
        <v>50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2.4913272517024283</v>
      </c>
      <c r="G74" s="56" t="e">
        <f t="shared" si="5"/>
        <v>#REF!</v>
      </c>
      <c r="H74" s="71">
        <v>0.66900000000000004</v>
      </c>
      <c r="I74" s="66">
        <v>44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0.5338558396505203</v>
      </c>
      <c r="G75" s="56" t="e">
        <f t="shared" si="5"/>
        <v>#REF!</v>
      </c>
      <c r="H75" s="71">
        <v>0.89800000000000002</v>
      </c>
      <c r="I75" s="66">
        <v>41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5.3385583965052028</v>
      </c>
      <c r="G77" s="56" t="e">
        <f t="shared" si="5"/>
        <v>#REF!</v>
      </c>
      <c r="H77" s="150">
        <v>2.798</v>
      </c>
      <c r="I77" s="143">
        <v>54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2.3748768999999998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2.3748768999999998</v>
      </c>
      <c r="I79" s="153">
        <v>43.42</v>
      </c>
      <c r="J79" s="154">
        <v>31.5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43.42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262.45619889</v>
      </c>
      <c r="I84" s="291"/>
      <c r="J84" s="292"/>
      <c r="K84" s="187">
        <f>H11-G11</f>
        <v>-99.593801110000015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41.562195789999997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13.241</v>
      </c>
      <c r="I87" s="153">
        <v>45.16</v>
      </c>
      <c r="J87" s="153">
        <f>I87</f>
        <v>45.16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10.33819579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5.9829999999999997</v>
      </c>
      <c r="I90" s="66">
        <f>I69</f>
        <v>24</v>
      </c>
      <c r="J90" s="66">
        <f>J69</f>
        <v>19.600000000000001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22</v>
      </c>
      <c r="J91" s="143">
        <f>J66</f>
        <v>19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20.33819579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277</v>
      </c>
      <c r="G95" s="167" t="e">
        <f>F84-(F79+F76+F28+F66+F69+#REF!)</f>
        <v>#REF!</v>
      </c>
      <c r="L95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6:D86"/>
    <mergeCell ref="B93:D93"/>
    <mergeCell ref="K23:K24"/>
    <mergeCell ref="E79:E81"/>
    <mergeCell ref="B84:D84"/>
    <mergeCell ref="I84:J8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5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364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249.3447256841834</v>
      </c>
      <c r="G7" s="18" t="e">
        <f>G25</f>
        <v>#REF!</v>
      </c>
      <c r="H7" s="259">
        <f>H25</f>
        <v>160.92739727999998</v>
      </c>
      <c r="I7" s="19"/>
      <c r="J7" s="20"/>
      <c r="K7" s="21" t="str">
        <f>K25</f>
        <v>92 Stations on stream, 4 on shutdown, 9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95.219709623538478</v>
      </c>
      <c r="G8" s="26" t="e">
        <f>G65</f>
        <v>#REF!</v>
      </c>
      <c r="H8" s="260">
        <f>H65</f>
        <v>85.421000000000021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9.5939868945136837</v>
      </c>
      <c r="G9" s="32" t="e">
        <f>G72</f>
        <v>#REF!</v>
      </c>
      <c r="H9" s="261">
        <f>H72</f>
        <v>7.2759999999999998</v>
      </c>
      <c r="I9" s="33"/>
      <c r="J9" s="34"/>
      <c r="K9" s="35" t="str">
        <f>K72</f>
        <v>10 Stations on stream, Life Flour Mill,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2.3097485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358</v>
      </c>
      <c r="G11" s="40">
        <f>E20+G10</f>
        <v>364</v>
      </c>
      <c r="H11" s="188">
        <f>SUM(H7:H10)</f>
        <v>255.93414578000002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122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48.717366269999999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32.776366269999997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361</v>
      </c>
      <c r="F20" s="171" t="s">
        <v>21</v>
      </c>
      <c r="G20" s="4">
        <v>355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262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249.3447256841834</v>
      </c>
      <c r="G25" s="18" t="e">
        <f>G33+G43+G52+G59+G63</f>
        <v>#REF!</v>
      </c>
      <c r="H25" s="18">
        <f>SUM(H26:H31)+SUM(H36:H41)+SUM(H45:H51)+SUM(H55:H58)+SUM(H61:H62)</f>
        <v>160.92739727999998</v>
      </c>
      <c r="I25" s="19"/>
      <c r="J25" s="20"/>
      <c r="K25" s="21" t="s">
        <v>117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76.75189515610947</v>
      </c>
      <c r="G26" s="56" t="e">
        <f>L26</f>
        <v>#REF!</v>
      </c>
      <c r="H26" s="263">
        <v>49.3</v>
      </c>
      <c r="I26" s="57">
        <v>25</v>
      </c>
      <c r="J26" s="58">
        <v>18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14.47513812154696</v>
      </c>
      <c r="G27" s="56" t="e">
        <f t="shared" ref="G27:G68" si="0">L27</f>
        <v>#REF!</v>
      </c>
      <c r="H27" s="263">
        <v>11.086671109999999</v>
      </c>
      <c r="I27" s="66">
        <v>27.5</v>
      </c>
      <c r="J27" s="67">
        <v>9.6999999999999993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0.40395734292689189</v>
      </c>
      <c r="G29" s="56" t="e">
        <f t="shared" si="0"/>
        <v>#REF!</v>
      </c>
      <c r="H29" s="263">
        <v>9.0539999999999995E-2</v>
      </c>
      <c r="I29" s="66">
        <v>28.9</v>
      </c>
      <c r="J29" s="67">
        <v>18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38.712578697160474</v>
      </c>
      <c r="G30" s="56" t="e">
        <f>L30</f>
        <v>#REF!</v>
      </c>
      <c r="H30" s="263">
        <v>14.690799999999999</v>
      </c>
      <c r="I30" s="66">
        <v>24</v>
      </c>
      <c r="J30" s="67">
        <v>14.7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94.256713349608106</v>
      </c>
      <c r="G31" s="56" t="e">
        <f t="shared" si="0"/>
        <v>#REF!</v>
      </c>
      <c r="H31" s="263">
        <v>66.341999999999999</v>
      </c>
      <c r="I31" s="66">
        <v>22.1</v>
      </c>
      <c r="J31" s="67" t="s">
        <v>121</v>
      </c>
      <c r="K31" s="68"/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151.51001110999999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1.6831555955287163</v>
      </c>
      <c r="G36" s="56" t="e">
        <f t="shared" si="0"/>
        <v>#REF!</v>
      </c>
      <c r="H36" s="263">
        <v>2.00701288</v>
      </c>
      <c r="I36" s="99">
        <v>24</v>
      </c>
      <c r="J36" s="100">
        <v>24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0.23564178337402025</v>
      </c>
      <c r="G37" s="56" t="e">
        <f t="shared" si="0"/>
        <v>#REF!</v>
      </c>
      <c r="H37" s="263">
        <v>0.2243193</v>
      </c>
      <c r="I37" s="66">
        <v>24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0.23564178337402025</v>
      </c>
      <c r="G38" s="56" t="e">
        <f t="shared" si="0"/>
        <v>#REF!</v>
      </c>
      <c r="H38" s="263">
        <v>0.20609359999999999</v>
      </c>
      <c r="I38" s="66">
        <v>24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0.33663111910574328</v>
      </c>
      <c r="G39" s="56" t="e">
        <f t="shared" si="0"/>
        <v>#REF!</v>
      </c>
      <c r="H39" s="264">
        <v>0.29181420000000002</v>
      </c>
      <c r="I39" s="66">
        <v>21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0.16831555955287164</v>
      </c>
      <c r="G40" s="56" t="e">
        <f t="shared" si="0"/>
        <v>#REF!</v>
      </c>
      <c r="H40" s="263">
        <v>6.7829500000000001E-2</v>
      </c>
      <c r="I40" s="66">
        <v>24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0.33663111910574328</v>
      </c>
      <c r="G41" s="56" t="e">
        <f t="shared" si="0"/>
        <v>#REF!</v>
      </c>
      <c r="H41" s="263">
        <v>1.6495139999999998E-2</v>
      </c>
      <c r="I41" s="66">
        <v>24</v>
      </c>
      <c r="J41" s="67">
        <v>4</v>
      </c>
      <c r="K41" s="75"/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2.8135646200000002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0.84157779776435815</v>
      </c>
      <c r="G45" s="56" t="e">
        <f t="shared" si="0"/>
        <v>#REF!</v>
      </c>
      <c r="H45" s="269">
        <v>0.78132060000000003</v>
      </c>
      <c r="I45" s="99">
        <v>16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1.3465244764229731</v>
      </c>
      <c r="G46" s="56" t="e">
        <f t="shared" si="0"/>
        <v>#REF!</v>
      </c>
      <c r="H46" s="265">
        <v>1.1832737</v>
      </c>
      <c r="I46" s="87">
        <v>16.5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1.0098933573172297</v>
      </c>
      <c r="G47" s="56" t="e">
        <f t="shared" si="0"/>
        <v>#REF!</v>
      </c>
      <c r="H47" s="265">
        <v>0.46872177999999998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0.30296800719516892</v>
      </c>
      <c r="G48" s="56" t="e">
        <f t="shared" si="0"/>
        <v>#REF!</v>
      </c>
      <c r="H48" s="263">
        <v>0.2138574</v>
      </c>
      <c r="I48" s="66">
        <v>18.100000000000001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5.0494667865861487E-2</v>
      </c>
      <c r="G49" s="56" t="e">
        <f t="shared" si="0"/>
        <v>#REF!</v>
      </c>
      <c r="H49" s="71">
        <v>3.8466100000000003E-2</v>
      </c>
      <c r="I49" s="66">
        <v>20</v>
      </c>
      <c r="J49" s="67">
        <v>1.7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5.0494667865861487E-2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1.3465244764229731</v>
      </c>
      <c r="G51" s="56" t="e">
        <f t="shared" si="0"/>
        <v>#REF!</v>
      </c>
      <c r="H51" s="159">
        <v>0.10510597000000001</v>
      </c>
      <c r="I51" s="123">
        <v>19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172">
        <f>SUM(H45:H51)</f>
        <v>2.79074555</v>
      </c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1.0098933573172297</v>
      </c>
      <c r="G55" s="209" t="e">
        <f>L55</f>
        <v>#REF!</v>
      </c>
      <c r="H55" s="135">
        <v>1.59094449</v>
      </c>
      <c r="I55" s="57">
        <v>23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1.0098933573172297</v>
      </c>
      <c r="G56" s="273" t="e">
        <f>L56</f>
        <v>#REF!</v>
      </c>
      <c r="H56" s="271">
        <v>0.88334398999999997</v>
      </c>
      <c r="I56" s="192">
        <v>24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0.16831555955287164</v>
      </c>
      <c r="G57" s="273" t="e">
        <f>L57</f>
        <v>#REF!</v>
      </c>
      <c r="H57" s="271">
        <v>4.3300829999999998E-2</v>
      </c>
      <c r="I57" s="192">
        <v>22</v>
      </c>
      <c r="J57" s="100">
        <v>3.9</v>
      </c>
      <c r="K57" s="75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2.5175893100000004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1.2455351406912503</v>
      </c>
      <c r="G61" s="238" t="e">
        <f>L61</f>
        <v>#REF!</v>
      </c>
      <c r="H61" s="135">
        <v>1.1656716899999999</v>
      </c>
      <c r="I61" s="57">
        <v>22.7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3.3663111910574326</v>
      </c>
      <c r="G62" s="56" t="e">
        <f>L62</f>
        <v>#REF!</v>
      </c>
      <c r="H62" s="71">
        <v>0.12981500000000001</v>
      </c>
      <c r="I62" s="66">
        <v>25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1.2954866899999999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95.219709623538478</v>
      </c>
      <c r="G65" s="26" t="e">
        <f>SUM(G66:G71)</f>
        <v>#REF!</v>
      </c>
      <c r="H65" s="26">
        <f>SUM(H66:H71)</f>
        <v>85.421000000000021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43.512</v>
      </c>
      <c r="I66" s="57">
        <v>22</v>
      </c>
      <c r="J66" s="136">
        <v>19</v>
      </c>
      <c r="K66" s="180" t="s">
        <v>113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0.26930489528459461</v>
      </c>
      <c r="G67" s="273" t="e">
        <f t="shared" si="0"/>
        <v>#REF!</v>
      </c>
      <c r="H67" s="71">
        <v>0.23400000000000001</v>
      </c>
      <c r="I67" s="66">
        <v>22</v>
      </c>
      <c r="J67" s="139">
        <v>21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0.84157779776435815</v>
      </c>
      <c r="G68" s="273" t="e">
        <f t="shared" si="0"/>
        <v>#REF!</v>
      </c>
      <c r="H68" s="71">
        <v>0.93500000000000005</v>
      </c>
      <c r="I68" s="66">
        <v>26</v>
      </c>
      <c r="J68" s="139">
        <v>26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25.9</v>
      </c>
      <c r="J69" s="139">
        <v>21.8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4.0395734292689189</v>
      </c>
      <c r="G70" s="273" t="e">
        <f t="shared" si="5"/>
        <v>#REF!</v>
      </c>
      <c r="H70" s="71">
        <v>2.7570000000000001</v>
      </c>
      <c r="I70" s="66">
        <v>26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7.0692535012206088</v>
      </c>
      <c r="G71" s="190" t="e">
        <f t="shared" si="5"/>
        <v>#REF!</v>
      </c>
      <c r="H71" s="165">
        <v>4.9829999999999997</v>
      </c>
      <c r="I71" s="87">
        <v>24</v>
      </c>
      <c r="J71" s="155">
        <v>2.2999999999999998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9.5939868945136837</v>
      </c>
      <c r="G72" s="32" t="e">
        <f>SUM(G73:G77)</f>
        <v>#REF!</v>
      </c>
      <c r="H72" s="32">
        <f>SUM(H73:H77)</f>
        <v>7.2759999999999998</v>
      </c>
      <c r="I72" s="33"/>
      <c r="J72" s="34"/>
      <c r="K72" s="35" t="s">
        <v>119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1.6831555955287163</v>
      </c>
      <c r="G73" s="56" t="e">
        <f t="shared" si="5"/>
        <v>#REF!</v>
      </c>
      <c r="H73" s="135">
        <v>2.7719999999999998</v>
      </c>
      <c r="I73" s="57">
        <v>51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2.3564178337402026</v>
      </c>
      <c r="G74" s="56" t="e">
        <f t="shared" si="5"/>
        <v>#REF!</v>
      </c>
      <c r="H74" s="71">
        <v>0.66800000000000004</v>
      </c>
      <c r="I74" s="66">
        <v>45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0.50494667865861487</v>
      </c>
      <c r="G75" s="56" t="e">
        <f t="shared" si="5"/>
        <v>#REF!</v>
      </c>
      <c r="H75" s="71">
        <v>1.1739999999999999</v>
      </c>
      <c r="I75" s="66">
        <v>36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5.0494667865861489</v>
      </c>
      <c r="G77" s="56" t="e">
        <f t="shared" si="5"/>
        <v>#REF!</v>
      </c>
      <c r="H77" s="150">
        <v>2.6619999999999999</v>
      </c>
      <c r="I77" s="143">
        <v>54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2.3097485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2.3097485</v>
      </c>
      <c r="I79" s="153">
        <v>43.08</v>
      </c>
      <c r="J79" s="154">
        <v>32.25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43.08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255.93414578000002</v>
      </c>
      <c r="I84" s="291"/>
      <c r="J84" s="292"/>
      <c r="K84" s="187">
        <f>H11-G11</f>
        <v>-108.06585421999998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48.717366269999999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13.161</v>
      </c>
      <c r="I87" s="153">
        <v>45.75</v>
      </c>
      <c r="J87" s="153">
        <f>I87</f>
        <v>45.75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22.77636627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0.78</v>
      </c>
      <c r="I90" s="66">
        <f>I69</f>
        <v>25.9</v>
      </c>
      <c r="J90" s="66">
        <f>J69</f>
        <v>21.8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22</v>
      </c>
      <c r="J91" s="143">
        <f>J66</f>
        <v>19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32.776366269999997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262</v>
      </c>
      <c r="G95" s="167" t="e">
        <f>F84-(F79+F76+F28+F66+F69+#REF!)</f>
        <v>#REF!</v>
      </c>
      <c r="L95" s="7"/>
    </row>
  </sheetData>
  <mergeCells count="32">
    <mergeCell ref="B86:D86"/>
    <mergeCell ref="B93:D93"/>
    <mergeCell ref="K23:K24"/>
    <mergeCell ref="E79:E81"/>
    <mergeCell ref="B84:D84"/>
    <mergeCell ref="I84:J8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95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348.41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249.3447256841834</v>
      </c>
      <c r="G7" s="18" t="e">
        <f>G25</f>
        <v>#REF!</v>
      </c>
      <c r="H7" s="259">
        <f>H25</f>
        <v>157.70357869</v>
      </c>
      <c r="I7" s="19"/>
      <c r="J7" s="20"/>
      <c r="K7" s="21" t="str">
        <f>K25</f>
        <v>88 Stations on stream, 4 on shutdown, 13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95.219709623538478</v>
      </c>
      <c r="G8" s="26" t="e">
        <f>G65</f>
        <v>#REF!</v>
      </c>
      <c r="H8" s="260">
        <f>H65</f>
        <v>84.881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9.5939868945136837</v>
      </c>
      <c r="G9" s="32" t="e">
        <f>G72</f>
        <v>#REF!</v>
      </c>
      <c r="H9" s="261">
        <f>H72</f>
        <v>7.3450000000000006</v>
      </c>
      <c r="I9" s="33"/>
      <c r="J9" s="34"/>
      <c r="K9" s="35" t="str">
        <f>K72</f>
        <v>10 Stations on stream, Life Flour Mill,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2.1237747699999998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358</v>
      </c>
      <c r="G11" s="40">
        <f>E20+G10</f>
        <v>348.41</v>
      </c>
      <c r="H11" s="188">
        <f>SUM(H7:H10)</f>
        <v>252.05335346000001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123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55.774013779999997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39.560013779999998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345.41</v>
      </c>
      <c r="F20" s="171" t="s">
        <v>21</v>
      </c>
      <c r="G20" s="4">
        <v>355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262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249.3447256841834</v>
      </c>
      <c r="G25" s="18" t="e">
        <f>G33+G43+G52+G59+G63</f>
        <v>#REF!</v>
      </c>
      <c r="H25" s="18">
        <f>SUM(H26:H31)+SUM(H36:H41)+SUM(H45:H51)+SUM(H55:H58)+SUM(H61:H62)</f>
        <v>157.70357869</v>
      </c>
      <c r="I25" s="19"/>
      <c r="J25" s="20"/>
      <c r="K25" s="21" t="s">
        <v>104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76.75189515610947</v>
      </c>
      <c r="G26" s="56" t="e">
        <f>L26</f>
        <v>#REF!</v>
      </c>
      <c r="H26" s="263">
        <v>41.23</v>
      </c>
      <c r="I26" s="57">
        <v>27.5</v>
      </c>
      <c r="J26" s="58">
        <v>18.3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14.47513812154696</v>
      </c>
      <c r="G27" s="56" t="e">
        <f t="shared" ref="G27:G68" si="0">L27</f>
        <v>#REF!</v>
      </c>
      <c r="H27" s="263">
        <v>9.56059035</v>
      </c>
      <c r="I27" s="66">
        <v>29</v>
      </c>
      <c r="J27" s="67">
        <v>9.6999999999999993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0.40395734292689189</v>
      </c>
      <c r="G29" s="56" t="e">
        <f t="shared" si="0"/>
        <v>#REF!</v>
      </c>
      <c r="H29" s="263">
        <v>9.5159999999999995E-2</v>
      </c>
      <c r="I29" s="66">
        <v>30.5</v>
      </c>
      <c r="J29" s="67">
        <v>20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38.712578697160474</v>
      </c>
      <c r="G30" s="56" t="e">
        <f>L30</f>
        <v>#REF!</v>
      </c>
      <c r="H30" s="263">
        <v>19.67887752</v>
      </c>
      <c r="I30" s="66">
        <v>26</v>
      </c>
      <c r="J30" s="67">
        <v>14.3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94.256713349608106</v>
      </c>
      <c r="G31" s="56" t="e">
        <f t="shared" si="0"/>
        <v>#REF!</v>
      </c>
      <c r="H31" s="263">
        <v>68.331000000000003</v>
      </c>
      <c r="I31" s="66">
        <v>22.6</v>
      </c>
      <c r="J31" s="67" t="s">
        <v>121</v>
      </c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148.89562787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1.6831555955287163</v>
      </c>
      <c r="G36" s="56" t="e">
        <f t="shared" si="0"/>
        <v>#REF!</v>
      </c>
      <c r="H36" s="263">
        <v>1.90943603</v>
      </c>
      <c r="I36" s="99">
        <v>26</v>
      </c>
      <c r="J36" s="100">
        <v>26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0.23564178337402025</v>
      </c>
      <c r="G37" s="56" t="e">
        <f t="shared" si="0"/>
        <v>#REF!</v>
      </c>
      <c r="H37" s="263">
        <v>7.8296599999999994E-2</v>
      </c>
      <c r="I37" s="66">
        <v>23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0.23564178337402025</v>
      </c>
      <c r="G38" s="56" t="e">
        <f t="shared" si="0"/>
        <v>#REF!</v>
      </c>
      <c r="H38" s="263">
        <v>0.18848388999999999</v>
      </c>
      <c r="I38" s="66">
        <v>25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0.33663111910574328</v>
      </c>
      <c r="G39" s="56" t="e">
        <f t="shared" si="0"/>
        <v>#REF!</v>
      </c>
      <c r="H39" s="264">
        <v>0.28531840000000003</v>
      </c>
      <c r="I39" s="66">
        <v>22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0.16831555955287164</v>
      </c>
      <c r="G40" s="56" t="e">
        <f t="shared" si="0"/>
        <v>#REF!</v>
      </c>
      <c r="H40" s="263">
        <v>6.458846E-2</v>
      </c>
      <c r="I40" s="66">
        <v>23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0.33663111910574328</v>
      </c>
      <c r="G41" s="56" t="e">
        <f t="shared" si="0"/>
        <v>#REF!</v>
      </c>
      <c r="H41" s="263">
        <v>0</v>
      </c>
      <c r="I41" s="66">
        <v>25</v>
      </c>
      <c r="J41" s="67">
        <v>4</v>
      </c>
      <c r="K41" s="75" t="s">
        <v>27</v>
      </c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2.52612338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0.84157779776435815</v>
      </c>
      <c r="G45" s="56" t="e">
        <f t="shared" si="0"/>
        <v>#REF!</v>
      </c>
      <c r="H45" s="269">
        <v>0.74179580000000001</v>
      </c>
      <c r="I45" s="99">
        <v>16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1.3465244764229731</v>
      </c>
      <c r="G46" s="56" t="e">
        <f t="shared" si="0"/>
        <v>#REF!</v>
      </c>
      <c r="H46" s="265">
        <v>1.1296329000000001</v>
      </c>
      <c r="I46" s="87">
        <v>16.5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1.0098933573172297</v>
      </c>
      <c r="G47" s="56" t="e">
        <f t="shared" si="0"/>
        <v>#REF!</v>
      </c>
      <c r="H47" s="265">
        <v>0.41377524999999998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0.30296800719516892</v>
      </c>
      <c r="G48" s="56" t="e">
        <f t="shared" si="0"/>
        <v>#REF!</v>
      </c>
      <c r="H48" s="263">
        <v>0.17119179000000001</v>
      </c>
      <c r="I48" s="66">
        <v>19.7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5.0494667865861487E-2</v>
      </c>
      <c r="G49" s="56" t="e">
        <f t="shared" si="0"/>
        <v>#REF!</v>
      </c>
      <c r="H49" s="71">
        <v>4.4041919999999998E-2</v>
      </c>
      <c r="I49" s="66">
        <v>20</v>
      </c>
      <c r="J49" s="67">
        <v>1.7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5.0494667865861487E-2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1.3465244764229731</v>
      </c>
      <c r="G51" s="56" t="e">
        <f t="shared" si="0"/>
        <v>#REF!</v>
      </c>
      <c r="H51" s="159">
        <v>9.7598019999999994E-2</v>
      </c>
      <c r="I51" s="123">
        <v>20.5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172">
        <f>SUM(H45:H51)</f>
        <v>2.5980356800000002</v>
      </c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1.0098933573172297</v>
      </c>
      <c r="G55" s="209" t="e">
        <f>L55</f>
        <v>#REF!</v>
      </c>
      <c r="H55" s="135">
        <v>1.6712606400000001</v>
      </c>
      <c r="I55" s="57">
        <v>25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1.0098933573172297</v>
      </c>
      <c r="G56" s="273" t="e">
        <f>L56</f>
        <v>#REF!</v>
      </c>
      <c r="H56" s="271">
        <v>0.86389919999999998</v>
      </c>
      <c r="I56" s="192">
        <v>26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0.16831555955287164</v>
      </c>
      <c r="G57" s="273" t="e">
        <f>L57</f>
        <v>#REF!</v>
      </c>
      <c r="H57" s="271">
        <v>4.2842060000000001E-2</v>
      </c>
      <c r="I57" s="192">
        <v>24</v>
      </c>
      <c r="J57" s="100">
        <v>3.9</v>
      </c>
      <c r="K57" s="75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2.5780018999999998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1.2455351406912503</v>
      </c>
      <c r="G61" s="238" t="e">
        <f>L61</f>
        <v>#REF!</v>
      </c>
      <c r="H61" s="135">
        <v>1.00688986</v>
      </c>
      <c r="I61" s="57">
        <v>24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3.3663111910574326</v>
      </c>
      <c r="G62" s="56" t="e">
        <f>L62</f>
        <v>#REF!</v>
      </c>
      <c r="H62" s="71">
        <v>9.8900000000000002E-2</v>
      </c>
      <c r="I62" s="66">
        <v>25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1.10578986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95.219709623538478</v>
      </c>
      <c r="G65" s="26" t="e">
        <f>SUM(G66:G71)</f>
        <v>#REF!</v>
      </c>
      <c r="H65" s="26">
        <f>SUM(H66:H71)</f>
        <v>84.881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42.093000000000004</v>
      </c>
      <c r="I66" s="57">
        <v>28</v>
      </c>
      <c r="J66" s="136">
        <v>26</v>
      </c>
      <c r="K66" s="180" t="s">
        <v>113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0.26930489528459461</v>
      </c>
      <c r="G67" s="273" t="e">
        <f t="shared" si="0"/>
        <v>#REF!</v>
      </c>
      <c r="H67" s="71">
        <v>0.23799999999999999</v>
      </c>
      <c r="I67" s="66">
        <v>27</v>
      </c>
      <c r="J67" s="139">
        <v>25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0.84157779776435815</v>
      </c>
      <c r="G68" s="273" t="e">
        <f t="shared" si="0"/>
        <v>#REF!</v>
      </c>
      <c r="H68" s="71">
        <v>0.82699999999999996</v>
      </c>
      <c r="I68" s="66">
        <v>29</v>
      </c>
      <c r="J68" s="139">
        <v>29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28</v>
      </c>
      <c r="J69" s="139">
        <v>23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4.0395734292689189</v>
      </c>
      <c r="G70" s="273" t="e">
        <f t="shared" si="5"/>
        <v>#REF!</v>
      </c>
      <c r="H70" s="71">
        <v>3.379</v>
      </c>
      <c r="I70" s="66">
        <v>29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7.0692535012206088</v>
      </c>
      <c r="G71" s="190" t="e">
        <f t="shared" si="5"/>
        <v>#REF!</v>
      </c>
      <c r="H71" s="165">
        <v>5.3440000000000003</v>
      </c>
      <c r="I71" s="87">
        <v>28</v>
      </c>
      <c r="J71" s="155">
        <v>2.5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9.5939868945136837</v>
      </c>
      <c r="G72" s="32" t="e">
        <f>SUM(G73:G77)</f>
        <v>#REF!</v>
      </c>
      <c r="H72" s="32">
        <f>SUM(H73:H77)</f>
        <v>7.3450000000000006</v>
      </c>
      <c r="I72" s="33"/>
      <c r="J72" s="34"/>
      <c r="K72" s="35" t="s">
        <v>119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1.6831555955287163</v>
      </c>
      <c r="G73" s="56" t="e">
        <f t="shared" si="5"/>
        <v>#REF!</v>
      </c>
      <c r="H73" s="135">
        <v>2.7690000000000001</v>
      </c>
      <c r="I73" s="57">
        <v>52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2.3564178337402026</v>
      </c>
      <c r="G74" s="56" t="e">
        <f t="shared" si="5"/>
        <v>#REF!</v>
      </c>
      <c r="H74" s="71">
        <v>0.67300000000000004</v>
      </c>
      <c r="I74" s="66">
        <v>46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0.50494667865861487</v>
      </c>
      <c r="G75" s="56" t="e">
        <f t="shared" si="5"/>
        <v>#REF!</v>
      </c>
      <c r="H75" s="71">
        <v>0.99</v>
      </c>
      <c r="I75" s="66">
        <v>45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5.0494667865861489</v>
      </c>
      <c r="G77" s="56" t="e">
        <f t="shared" si="5"/>
        <v>#REF!</v>
      </c>
      <c r="H77" s="150">
        <v>2.9129999999999998</v>
      </c>
      <c r="I77" s="143">
        <v>55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2.1237747699999998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2.1237747699999998</v>
      </c>
      <c r="I79" s="153">
        <v>41.17</v>
      </c>
      <c r="J79" s="154">
        <v>31.92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41.17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252.05335346000001</v>
      </c>
      <c r="I84" s="291"/>
      <c r="J84" s="292"/>
      <c r="K84" s="187">
        <f>H11-G11</f>
        <v>-96.356646540000014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55.774013779999997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13.156000000000001</v>
      </c>
      <c r="I87" s="153">
        <v>47.2</v>
      </c>
      <c r="J87" s="153">
        <f>I87</f>
        <v>47.2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29.560013779999998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1.0580000000000001</v>
      </c>
      <c r="I90" s="66">
        <f>I69</f>
        <v>28</v>
      </c>
      <c r="J90" s="66">
        <f>J69</f>
        <v>23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28</v>
      </c>
      <c r="J91" s="143">
        <f>J66</f>
        <v>26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39.560013779999998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262</v>
      </c>
      <c r="G95" s="167" t="e">
        <f>F84-(F79+F76+F28+F66+F69+#REF!)</f>
        <v>#REF!</v>
      </c>
      <c r="L95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6:D86"/>
    <mergeCell ref="B93:D93"/>
    <mergeCell ref="K23:K24"/>
    <mergeCell ref="E79:E81"/>
    <mergeCell ref="B84:D84"/>
    <mergeCell ref="I84:J8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M95"/>
  <sheetViews>
    <sheetView tabSelected="1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353.17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263.04766799434663</v>
      </c>
      <c r="G7" s="18" t="e">
        <f>G25</f>
        <v>#REF!</v>
      </c>
      <c r="H7" s="259">
        <f>H25</f>
        <v>172.97855774999996</v>
      </c>
      <c r="I7" s="19"/>
      <c r="J7" s="20"/>
      <c r="K7" s="21" t="str">
        <f>K25</f>
        <v>85 Stations on stream, 4 on shutdown, 16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95.919311319542601</v>
      </c>
      <c r="G8" s="26" t="e">
        <f>G65</f>
        <v>#REF!</v>
      </c>
      <c r="H8" s="260">
        <f>H65</f>
        <v>77.701000000000008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10.143260953359885</v>
      </c>
      <c r="G9" s="32" t="e">
        <f>G72</f>
        <v>#REF!</v>
      </c>
      <c r="H9" s="261">
        <f>H72</f>
        <v>6.9749999999999996</v>
      </c>
      <c r="I9" s="33"/>
      <c r="J9" s="34"/>
      <c r="K9" s="35" t="str">
        <f>K72</f>
        <v>10 Stations on stream, Life Flour Mill,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1.8396431499999999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373</v>
      </c>
      <c r="G11" s="40">
        <f>E20+G10</f>
        <v>353.17</v>
      </c>
      <c r="H11" s="188">
        <f>SUM(H7:H10)</f>
        <v>259.49420089999995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124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75.490295329999995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47.144295329999999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350.17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263.04766799434663</v>
      </c>
      <c r="G25" s="18" t="e">
        <f>G33+G43+G52+G59+G63</f>
        <v>#REF!</v>
      </c>
      <c r="H25" s="18">
        <f>SUM(H26:H31)+SUM(H36:H41)+SUM(H45:H51)+SUM(H55:H58)+SUM(H61:H62)</f>
        <v>172.97855774999996</v>
      </c>
      <c r="I25" s="19"/>
      <c r="J25" s="20"/>
      <c r="K25" s="21" t="s">
        <v>125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81.146087626879094</v>
      </c>
      <c r="G26" s="56" t="e">
        <f>L26</f>
        <v>#REF!</v>
      </c>
      <c r="H26" s="263">
        <v>50.74</v>
      </c>
      <c r="I26" s="57">
        <v>21.2</v>
      </c>
      <c r="J26" s="58">
        <v>16.7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15.303867403314916</v>
      </c>
      <c r="G27" s="56" t="e">
        <f t="shared" ref="G27:G68" si="0">L27</f>
        <v>#REF!</v>
      </c>
      <c r="H27" s="263">
        <v>11.42114973</v>
      </c>
      <c r="I27" s="66">
        <v>24.9</v>
      </c>
      <c r="J27" s="67">
        <v>9.6999999999999993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0.4270846717204162</v>
      </c>
      <c r="G29" s="56" t="e">
        <f t="shared" si="0"/>
        <v>#REF!</v>
      </c>
      <c r="H29" s="263">
        <v>8.5199999999999998E-2</v>
      </c>
      <c r="I29" s="66">
        <v>28</v>
      </c>
      <c r="J29" s="67">
        <v>19.899999999999999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40.928947706539894</v>
      </c>
      <c r="G30" s="56" t="e">
        <f>L30</f>
        <v>#REF!</v>
      </c>
      <c r="H30" s="263">
        <v>23.906020349999999</v>
      </c>
      <c r="I30" s="66">
        <v>22</v>
      </c>
      <c r="J30" s="67">
        <v>14.4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99.653090068097129</v>
      </c>
      <c r="G31" s="56" t="e">
        <f t="shared" si="0"/>
        <v>#REF!</v>
      </c>
      <c r="H31" s="263">
        <v>68.352999999999994</v>
      </c>
      <c r="I31" s="66">
        <v>19.3</v>
      </c>
      <c r="J31" s="67" t="s">
        <v>88</v>
      </c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164.50537007999998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1.7795194655017343</v>
      </c>
      <c r="G36" s="56" t="e">
        <f t="shared" si="0"/>
        <v>#REF!</v>
      </c>
      <c r="H36" s="263">
        <v>2.0157647999999999</v>
      </c>
      <c r="I36" s="99">
        <v>26</v>
      </c>
      <c r="J36" s="100">
        <v>26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0.24913272517024279</v>
      </c>
      <c r="G37" s="56" t="e">
        <f t="shared" si="0"/>
        <v>#REF!</v>
      </c>
      <c r="H37" s="263">
        <v>7.45532E-2</v>
      </c>
      <c r="I37" s="66">
        <v>23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0.24913272517024279</v>
      </c>
      <c r="G38" s="56" t="e">
        <f t="shared" si="0"/>
        <v>#REF!</v>
      </c>
      <c r="H38" s="263">
        <v>1.7397969999999999E-2</v>
      </c>
      <c r="I38" s="66">
        <v>25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0.35590389310034687</v>
      </c>
      <c r="G39" s="56" t="e">
        <f t="shared" si="0"/>
        <v>#REF!</v>
      </c>
      <c r="H39" s="264">
        <v>0.28716199999999997</v>
      </c>
      <c r="I39" s="66">
        <v>21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0.17795194655017343</v>
      </c>
      <c r="G40" s="56" t="e">
        <f t="shared" si="0"/>
        <v>#REF!</v>
      </c>
      <c r="H40" s="263">
        <v>5.6380010000000001E-2</v>
      </c>
      <c r="I40" s="66">
        <v>24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0.35590389310034687</v>
      </c>
      <c r="G41" s="56" t="e">
        <f t="shared" si="0"/>
        <v>#REF!</v>
      </c>
      <c r="H41" s="263">
        <v>0</v>
      </c>
      <c r="I41" s="66">
        <v>25</v>
      </c>
      <c r="J41" s="67">
        <v>4</v>
      </c>
      <c r="K41" s="75" t="s">
        <v>27</v>
      </c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2.4512579799999998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0.88975973275086717</v>
      </c>
      <c r="G45" s="56" t="e">
        <f t="shared" si="0"/>
        <v>#REF!</v>
      </c>
      <c r="H45" s="269">
        <v>0.57487410000000005</v>
      </c>
      <c r="I45" s="99">
        <v>16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1.4236155724013875</v>
      </c>
      <c r="G46" s="56" t="e">
        <f t="shared" si="0"/>
        <v>#REF!</v>
      </c>
      <c r="H46" s="265">
        <v>1.2206801</v>
      </c>
      <c r="I46" s="87">
        <v>16.5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1.0677116793010406</v>
      </c>
      <c r="G47" s="56" t="e">
        <f t="shared" si="0"/>
        <v>#REF!</v>
      </c>
      <c r="H47" s="265">
        <v>0.50754078000000002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0.3203135037903122</v>
      </c>
      <c r="G48" s="56" t="e">
        <f t="shared" si="0"/>
        <v>#REF!</v>
      </c>
      <c r="H48" s="263">
        <v>0.13343149000000001</v>
      </c>
      <c r="I48" s="66">
        <v>19.399999999999999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5.3385583965052025E-2</v>
      </c>
      <c r="G49" s="56" t="e">
        <f t="shared" si="0"/>
        <v>#REF!</v>
      </c>
      <c r="H49" s="71">
        <v>2.636163E-2</v>
      </c>
      <c r="I49" s="66">
        <v>21</v>
      </c>
      <c r="J49" s="67">
        <v>1.94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5.3385583965052025E-2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1.4236155724013875</v>
      </c>
      <c r="G51" s="56" t="e">
        <f t="shared" si="0"/>
        <v>#REF!</v>
      </c>
      <c r="H51" s="159">
        <v>0.10868438</v>
      </c>
      <c r="I51" s="123">
        <v>19.600000000000001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172">
        <f>SUM(H45:H51)</f>
        <v>2.5715724799999999</v>
      </c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1.0677116793010406</v>
      </c>
      <c r="G55" s="209" t="e">
        <f>L55</f>
        <v>#REF!</v>
      </c>
      <c r="H55" s="135">
        <v>1.61347609</v>
      </c>
      <c r="I55" s="57">
        <v>26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1.0677116793010406</v>
      </c>
      <c r="G56" s="273" t="e">
        <f>L56</f>
        <v>#REF!</v>
      </c>
      <c r="H56" s="271">
        <v>0.8007301</v>
      </c>
      <c r="I56" s="192">
        <v>28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0.17795194655017343</v>
      </c>
      <c r="G57" s="273" t="e">
        <f>L57</f>
        <v>#REF!</v>
      </c>
      <c r="H57" s="271">
        <v>0</v>
      </c>
      <c r="I57" s="192">
        <v>24</v>
      </c>
      <c r="J57" s="100">
        <v>0</v>
      </c>
      <c r="K57" s="75" t="s">
        <v>27</v>
      </c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2.4142061899999998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1.3168444044712835</v>
      </c>
      <c r="G61" s="238" t="e">
        <f>L61</f>
        <v>#REF!</v>
      </c>
      <c r="H61" s="135">
        <v>0.91169802</v>
      </c>
      <c r="I61" s="57">
        <v>24.8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3.5590389310034687</v>
      </c>
      <c r="G62" s="56" t="e">
        <f>L62</f>
        <v>#REF!</v>
      </c>
      <c r="H62" s="71">
        <v>0.12445299999999999</v>
      </c>
      <c r="I62" s="66">
        <v>27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1.0361510199999999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95.919311319542601</v>
      </c>
      <c r="G65" s="26" t="e">
        <f>SUM(G66:G71)</f>
        <v>#REF!</v>
      </c>
      <c r="H65" s="26">
        <f>SUM(H66:H71)</f>
        <v>77.701000000000008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34.404000000000003</v>
      </c>
      <c r="I66" s="57">
        <v>23</v>
      </c>
      <c r="J66" s="136">
        <v>19</v>
      </c>
      <c r="K66" s="180" t="s">
        <v>113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0.28472311448027754</v>
      </c>
      <c r="G67" s="273" t="e">
        <f t="shared" si="0"/>
        <v>#REF!</v>
      </c>
      <c r="H67" s="71">
        <v>0.24</v>
      </c>
      <c r="I67" s="66">
        <v>23</v>
      </c>
      <c r="J67" s="139">
        <v>22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0.88975973275086717</v>
      </c>
      <c r="G68" s="273" t="e">
        <f t="shared" si="0"/>
        <v>#REF!</v>
      </c>
      <c r="H68" s="71">
        <v>1.4590000000000001</v>
      </c>
      <c r="I68" s="66">
        <v>25</v>
      </c>
      <c r="J68" s="139">
        <v>25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33</v>
      </c>
      <c r="I69" s="66">
        <v>24</v>
      </c>
      <c r="J69" s="139">
        <v>18.5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4.2708467172041624</v>
      </c>
      <c r="G70" s="273" t="e">
        <f t="shared" si="5"/>
        <v>#REF!</v>
      </c>
      <c r="H70" s="71">
        <v>3.3940000000000001</v>
      </c>
      <c r="I70" s="66">
        <v>25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7.4739817551072845</v>
      </c>
      <c r="G71" s="190" t="e">
        <f t="shared" si="5"/>
        <v>#REF!</v>
      </c>
      <c r="H71" s="165">
        <v>5.2039999999999997</v>
      </c>
      <c r="I71" s="87">
        <v>24</v>
      </c>
      <c r="J71" s="155">
        <v>2.4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10.143260953359885</v>
      </c>
      <c r="G72" s="32" t="e">
        <f>SUM(G73:G77)</f>
        <v>#REF!</v>
      </c>
      <c r="H72" s="32">
        <f>SUM(H73:H77)</f>
        <v>6.9749999999999996</v>
      </c>
      <c r="I72" s="33"/>
      <c r="J72" s="34"/>
      <c r="K72" s="35" t="s">
        <v>119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1.7795194655017343</v>
      </c>
      <c r="G73" s="56" t="e">
        <f t="shared" si="5"/>
        <v>#REF!</v>
      </c>
      <c r="H73" s="135">
        <v>2.7330000000000001</v>
      </c>
      <c r="I73" s="57">
        <v>51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2.4913272517024283</v>
      </c>
      <c r="G74" s="56" t="e">
        <f t="shared" si="5"/>
        <v>#REF!</v>
      </c>
      <c r="H74" s="71">
        <v>0.67200000000000004</v>
      </c>
      <c r="I74" s="66">
        <v>45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0.5338558396505203</v>
      </c>
      <c r="G75" s="56" t="e">
        <f t="shared" si="5"/>
        <v>#REF!</v>
      </c>
      <c r="H75" s="71">
        <v>0.76600000000000001</v>
      </c>
      <c r="I75" s="66">
        <v>44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5.3385583965052028</v>
      </c>
      <c r="G77" s="56" t="e">
        <f t="shared" si="5"/>
        <v>#REF!</v>
      </c>
      <c r="H77" s="150">
        <v>2.8039999999999998</v>
      </c>
      <c r="I77" s="143">
        <v>44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1.8396431499999999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1.8396431499999999</v>
      </c>
      <c r="I79" s="153">
        <v>40</v>
      </c>
      <c r="J79" s="154">
        <v>32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40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259.49420089999995</v>
      </c>
      <c r="I84" s="291"/>
      <c r="J84" s="292"/>
      <c r="K84" s="187">
        <f>H11-G11</f>
        <v>-93.675799100000063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93.51373756000001</v>
      </c>
      <c r="H86" s="193">
        <f t="shared" si="8"/>
        <v>75.490295329999995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12.959</v>
      </c>
      <c r="I87" s="153">
        <v>47.2</v>
      </c>
      <c r="J87" s="153">
        <f>I87</f>
        <v>47.2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37.144295329999999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20</v>
      </c>
      <c r="H90" s="71">
        <v>13.387</v>
      </c>
      <c r="I90" s="66">
        <f>I69</f>
        <v>24</v>
      </c>
      <c r="J90" s="66">
        <f>J69</f>
        <v>18.5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23</v>
      </c>
      <c r="J91" s="143">
        <f>J66</f>
        <v>19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47.144295329999999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277</v>
      </c>
      <c r="G95" s="167" t="e">
        <f>F84-(F79+F76+F28+F66+F69+#REF!)</f>
        <v>#REF!</v>
      </c>
      <c r="L95" s="7"/>
    </row>
  </sheetData>
  <mergeCells count="32">
    <mergeCell ref="B86:D86"/>
    <mergeCell ref="B93:D93"/>
    <mergeCell ref="K23:K24"/>
    <mergeCell ref="E79:E81"/>
    <mergeCell ref="B84:D84"/>
    <mergeCell ref="I84:J8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M95"/>
  <sheetViews>
    <sheetView tabSelected="1" topLeftCell="A92" workbookViewId="0">
      <selection activeCell="K20" sqref="K20"/>
    </sheetView>
  </sheetViews>
  <sheetFormatPr defaultRowHeight="14.5" x14ac:dyDescent="0.35"/>
  <cols>
    <col min="4" max="4" width="42.36328125" customWidth="1"/>
    <col min="5" max="5" width="11.36328125" customWidth="1"/>
    <col min="6" max="6" width="14.453125" customWidth="1"/>
    <col min="7" max="7" width="12.453125" customWidth="1"/>
    <col min="8" max="8" width="13.36328125" style="1" customWidth="1"/>
    <col min="9" max="9" width="10.6328125" bestFit="1" customWidth="1"/>
    <col min="10" max="10" width="9.6328125" customWidth="1"/>
    <col min="11" max="11" width="57.6328125" customWidth="1"/>
    <col min="12" max="12" width="8.6328125" hidden="1" customWidth="1"/>
    <col min="13" max="13" width="8.08984375" hidden="1" customWidth="1"/>
    <col min="14" max="18" width="8.6328125" customWidth="1"/>
  </cols>
  <sheetData>
    <row r="1" spans="2:12" ht="36" customHeight="1" thickBot="1" x14ac:dyDescent="0.4"/>
    <row r="2" spans="2:12" ht="27" customHeight="1" thickBot="1" x14ac:dyDescent="0.4">
      <c r="C2" s="1"/>
      <c r="D2" s="168" t="s">
        <v>0</v>
      </c>
      <c r="E2" s="2">
        <f>G11</f>
        <v>348.72</v>
      </c>
      <c r="F2" s="3"/>
      <c r="G2" s="4"/>
      <c r="H2" s="258"/>
      <c r="I2" s="1"/>
      <c r="J2" s="5" t="s">
        <v>1</v>
      </c>
      <c r="K2" s="6"/>
      <c r="L2" s="7"/>
    </row>
    <row r="3" spans="2:12" ht="31" x14ac:dyDescent="0.35">
      <c r="B3" s="8"/>
      <c r="C3" s="9"/>
      <c r="D3" s="314" t="s">
        <v>2</v>
      </c>
      <c r="E3" s="315"/>
      <c r="F3" s="315"/>
      <c r="G3" s="315"/>
      <c r="H3" s="315"/>
      <c r="I3" s="315"/>
      <c r="J3" s="315"/>
      <c r="K3" s="316"/>
      <c r="L3" s="7"/>
    </row>
    <row r="4" spans="2:12" ht="48" customHeight="1" thickBot="1" x14ac:dyDescent="0.4">
      <c r="B4" s="10"/>
      <c r="C4" s="11"/>
      <c r="D4" s="317" t="s">
        <v>3</v>
      </c>
      <c r="E4" s="318"/>
      <c r="F4" s="318"/>
      <c r="G4" s="318"/>
      <c r="H4" s="318"/>
      <c r="I4" s="318"/>
      <c r="J4" s="318"/>
      <c r="K4" s="319"/>
      <c r="L4" s="7"/>
    </row>
    <row r="5" spans="2:12" ht="15" customHeight="1" x14ac:dyDescent="0.35">
      <c r="B5" s="299" t="s">
        <v>4</v>
      </c>
      <c r="C5" s="301" t="s">
        <v>4</v>
      </c>
      <c r="D5" s="303" t="s">
        <v>5</v>
      </c>
      <c r="E5" s="305" t="s">
        <v>6</v>
      </c>
      <c r="F5" s="305" t="s">
        <v>7</v>
      </c>
      <c r="G5" s="307" t="s">
        <v>8</v>
      </c>
      <c r="H5" s="305" t="s">
        <v>9</v>
      </c>
      <c r="I5" s="309" t="s">
        <v>10</v>
      </c>
      <c r="J5" s="310"/>
      <c r="K5" s="283" t="s">
        <v>11</v>
      </c>
      <c r="L5" s="7"/>
    </row>
    <row r="6" spans="2:12" ht="25.5" customHeight="1" thickBot="1" x14ac:dyDescent="0.4">
      <c r="B6" s="300"/>
      <c r="C6" s="302"/>
      <c r="D6" s="304"/>
      <c r="E6" s="306"/>
      <c r="F6" s="306"/>
      <c r="G6" s="308"/>
      <c r="H6" s="306"/>
      <c r="I6" s="12"/>
      <c r="J6" s="12" t="s">
        <v>12</v>
      </c>
      <c r="K6" s="284"/>
      <c r="L6" s="7"/>
    </row>
    <row r="7" spans="2:12" ht="42.75" customHeight="1" thickBot="1" x14ac:dyDescent="0.5">
      <c r="B7" s="13" t="s">
        <v>13</v>
      </c>
      <c r="C7" s="14"/>
      <c r="D7" s="182"/>
      <c r="E7" s="16">
        <f>E25</f>
        <v>438.46999999999997</v>
      </c>
      <c r="F7" s="17">
        <f>F25</f>
        <v>263.04766799434663</v>
      </c>
      <c r="G7" s="18" t="e">
        <f>G25</f>
        <v>#REF!</v>
      </c>
      <c r="H7" s="259">
        <f>H25</f>
        <v>171.89306313999998</v>
      </c>
      <c r="I7" s="19"/>
      <c r="J7" s="20"/>
      <c r="K7" s="21" t="str">
        <f>K25</f>
        <v>92 Stations on stream, 4 on shutdown, 9 on standby</v>
      </c>
      <c r="L7" s="7"/>
    </row>
    <row r="8" spans="2:12" ht="30.75" customHeight="1" thickBot="1" x14ac:dyDescent="0.5">
      <c r="B8" s="22" t="s">
        <v>14</v>
      </c>
      <c r="C8" s="23"/>
      <c r="D8" s="24"/>
      <c r="E8" s="25">
        <f>E65</f>
        <v>204</v>
      </c>
      <c r="F8" s="25">
        <f>F65</f>
        <v>95.919311319542601</v>
      </c>
      <c r="G8" s="26" t="e">
        <f>G65</f>
        <v>#REF!</v>
      </c>
      <c r="H8" s="260">
        <f>H65</f>
        <v>88.524999999999991</v>
      </c>
      <c r="I8" s="27"/>
      <c r="J8" s="28"/>
      <c r="K8" s="29" t="str">
        <f>K65</f>
        <v>6 Nos stations on-stream</v>
      </c>
      <c r="L8" s="7"/>
    </row>
    <row r="9" spans="2:12" ht="33.75" customHeight="1" thickBot="1" x14ac:dyDescent="0.5">
      <c r="B9" s="13" t="s">
        <v>15</v>
      </c>
      <c r="C9" s="30"/>
      <c r="D9" s="31"/>
      <c r="E9" s="16">
        <f>E72</f>
        <v>28.7</v>
      </c>
      <c r="F9" s="16">
        <f>F72</f>
        <v>10.143260953359885</v>
      </c>
      <c r="G9" s="32" t="e">
        <f>G72</f>
        <v>#REF!</v>
      </c>
      <c r="H9" s="261">
        <f>H72</f>
        <v>7.3289999999999997</v>
      </c>
      <c r="I9" s="33"/>
      <c r="J9" s="34"/>
      <c r="K9" s="35" t="str">
        <f>K72</f>
        <v>11 Stations on stream, Quadrant IPP2 &amp; Premium Steel on standby</v>
      </c>
      <c r="L9" s="7"/>
    </row>
    <row r="10" spans="2:12" ht="49.5" customHeight="1" thickBot="1" x14ac:dyDescent="0.5">
      <c r="B10" s="13" t="s">
        <v>16</v>
      </c>
      <c r="C10" s="30"/>
      <c r="D10" s="36"/>
      <c r="E10" s="16">
        <f>E78</f>
        <v>22.4</v>
      </c>
      <c r="F10" s="37">
        <f>F78</f>
        <v>3</v>
      </c>
      <c r="G10" s="37">
        <f>G78</f>
        <v>3</v>
      </c>
      <c r="H10" s="262">
        <f>H78</f>
        <v>2.3219098200000001</v>
      </c>
      <c r="I10" s="33"/>
      <c r="J10" s="34"/>
      <c r="K10" s="38" t="str">
        <f>K78</f>
        <v>GEL on stream, FIPL &amp; Denna Rossi on standby, PHRC on shutdown for rehabilitation</v>
      </c>
      <c r="L10" s="7"/>
    </row>
    <row r="11" spans="2:12" ht="36.75" customHeight="1" thickBot="1" x14ac:dyDescent="0.4">
      <c r="B11" s="288" t="s">
        <v>17</v>
      </c>
      <c r="C11" s="289"/>
      <c r="D11" s="290"/>
      <c r="E11" s="39">
        <f>SUM(E7:E10)</f>
        <v>693.57</v>
      </c>
      <c r="F11" s="40">
        <f>G20+F10</f>
        <v>373</v>
      </c>
      <c r="G11" s="40">
        <f>E20+G10</f>
        <v>348.72</v>
      </c>
      <c r="H11" s="188">
        <f>SUM(H7:H10)</f>
        <v>270.06897295999994</v>
      </c>
      <c r="I11" s="291"/>
      <c r="J11" s="292"/>
      <c r="K11" s="189"/>
      <c r="L11" s="7"/>
    </row>
    <row r="12" spans="2:12" ht="36.75" customHeight="1" thickBot="1" x14ac:dyDescent="0.4">
      <c r="B12" s="210"/>
      <c r="C12" s="210"/>
      <c r="D12" s="210"/>
      <c r="E12" s="211"/>
      <c r="F12" s="211"/>
      <c r="G12" s="211"/>
      <c r="H12" s="311"/>
      <c r="I12" s="312"/>
      <c r="J12" s="313"/>
      <c r="K12" s="21" t="s">
        <v>126</v>
      </c>
      <c r="L12" s="7"/>
    </row>
    <row r="13" spans="2:12" ht="19" thickBot="1" x14ac:dyDescent="0.5">
      <c r="B13" s="1"/>
      <c r="C13" s="1"/>
      <c r="D13" s="41"/>
      <c r="E13" s="178"/>
      <c r="F13" s="42"/>
      <c r="G13" s="42"/>
      <c r="I13" s="43"/>
      <c r="J13" s="43"/>
      <c r="K13" s="1"/>
      <c r="L13" s="7"/>
    </row>
    <row r="14" spans="2:12" ht="23.25" customHeight="1" thickBot="1" x14ac:dyDescent="0.4">
      <c r="B14" s="278" t="s">
        <v>18</v>
      </c>
      <c r="C14" s="279"/>
      <c r="D14" s="280"/>
      <c r="E14" s="16">
        <f>E86</f>
        <v>312</v>
      </c>
      <c r="F14" s="16">
        <f>'[1]OPS GAS OFFTAKE'!$H$109</f>
        <v>73.51373756000001</v>
      </c>
      <c r="G14" s="16">
        <f>'[1]OPS GAS OFFTAKE'!$I$109</f>
        <v>73.51373756000001</v>
      </c>
      <c r="H14" s="259">
        <f>H86</f>
        <v>55.814243320000003</v>
      </c>
      <c r="I14" s="44"/>
      <c r="J14" s="45"/>
      <c r="K14" s="21" t="str">
        <f>K86</f>
        <v>5 Stations on stream</v>
      </c>
      <c r="L14" s="7"/>
    </row>
    <row r="15" spans="2:12" x14ac:dyDescent="0.35">
      <c r="B15" s="1"/>
      <c r="C15" s="1"/>
      <c r="D15" s="43"/>
      <c r="E15" s="178"/>
      <c r="F15" s="46"/>
      <c r="G15" s="46"/>
      <c r="I15" s="1"/>
      <c r="J15" s="1"/>
      <c r="K15" s="47"/>
      <c r="L15" s="7"/>
    </row>
    <row r="16" spans="2:12" ht="5.25" customHeight="1" thickBot="1" x14ac:dyDescent="0.4">
      <c r="B16" s="1"/>
      <c r="C16" s="1"/>
      <c r="D16" s="43"/>
      <c r="E16" s="178"/>
      <c r="F16" s="46"/>
      <c r="G16" s="46"/>
      <c r="I16" s="1"/>
      <c r="J16" s="1"/>
      <c r="K16" s="1"/>
      <c r="L16" s="7"/>
    </row>
    <row r="17" spans="2:13" ht="19.5" customHeight="1" thickBot="1" x14ac:dyDescent="0.4">
      <c r="B17" s="281" t="s">
        <v>19</v>
      </c>
      <c r="C17" s="282"/>
      <c r="D17" s="282"/>
      <c r="E17" s="48"/>
      <c r="F17" s="49"/>
      <c r="G17" s="49"/>
      <c r="H17" s="50">
        <f>H93</f>
        <v>42.727243319999999</v>
      </c>
      <c r="I17" s="1"/>
      <c r="J17" s="1"/>
      <c r="K17" s="1"/>
      <c r="L17" s="7"/>
    </row>
    <row r="18" spans="2:13" ht="19.5" customHeight="1" x14ac:dyDescent="0.35">
      <c r="B18" s="212"/>
      <c r="C18" s="212"/>
      <c r="D18" s="212"/>
      <c r="E18" s="213"/>
      <c r="F18" s="214"/>
      <c r="G18" s="214"/>
      <c r="H18" s="215"/>
      <c r="I18" s="1"/>
      <c r="J18" s="1"/>
      <c r="K18" s="1"/>
      <c r="L18" s="7"/>
    </row>
    <row r="19" spans="2:13" ht="21.75" customHeight="1" thickBot="1" x14ac:dyDescent="0.4">
      <c r="L19" s="7"/>
    </row>
    <row r="20" spans="2:13" ht="42" customHeight="1" thickBot="1" x14ac:dyDescent="0.4">
      <c r="B20" s="1"/>
      <c r="C20" s="1"/>
      <c r="D20" s="168" t="s">
        <v>20</v>
      </c>
      <c r="E20" s="2">
        <v>345.72</v>
      </c>
      <c r="F20" s="171" t="s">
        <v>21</v>
      </c>
      <c r="G20" s="4">
        <v>370</v>
      </c>
      <c r="H20" s="258"/>
      <c r="I20" s="1"/>
      <c r="J20" s="5" t="s">
        <v>1</v>
      </c>
      <c r="K20" s="6"/>
      <c r="L20" s="7" t="e">
        <f>E20-F28-F66-F69-#REF!</f>
        <v>#REF!</v>
      </c>
      <c r="M20" s="7">
        <f>G20-F28-F66-F69</f>
        <v>277</v>
      </c>
    </row>
    <row r="21" spans="2:13" ht="26" x14ac:dyDescent="0.35">
      <c r="B21" s="8"/>
      <c r="C21" s="9"/>
      <c r="D21" s="293"/>
      <c r="E21" s="294"/>
      <c r="F21" s="294"/>
      <c r="G21" s="294"/>
      <c r="H21" s="294"/>
      <c r="I21" s="294"/>
      <c r="J21" s="294"/>
      <c r="K21" s="295"/>
      <c r="L21" s="7"/>
    </row>
    <row r="22" spans="2:13" ht="49.5" customHeight="1" thickBot="1" x14ac:dyDescent="0.4">
      <c r="B22" s="10"/>
      <c r="C22" s="11"/>
      <c r="D22" s="296" t="s">
        <v>3</v>
      </c>
      <c r="E22" s="297"/>
      <c r="F22" s="297"/>
      <c r="G22" s="297"/>
      <c r="H22" s="297"/>
      <c r="I22" s="297"/>
      <c r="J22" s="297"/>
      <c r="K22" s="298"/>
      <c r="L22" s="7"/>
    </row>
    <row r="23" spans="2:13" ht="14.4" customHeight="1" x14ac:dyDescent="0.35">
      <c r="B23" s="299" t="s">
        <v>4</v>
      </c>
      <c r="C23" s="301" t="s">
        <v>4</v>
      </c>
      <c r="D23" s="303" t="s">
        <v>5</v>
      </c>
      <c r="E23" s="305" t="s">
        <v>6</v>
      </c>
      <c r="F23" s="305" t="s">
        <v>7</v>
      </c>
      <c r="G23" s="307" t="s">
        <v>8</v>
      </c>
      <c r="H23" s="305" t="s">
        <v>9</v>
      </c>
      <c r="I23" s="309" t="s">
        <v>10</v>
      </c>
      <c r="J23" s="310"/>
      <c r="K23" s="283" t="s">
        <v>11</v>
      </c>
      <c r="L23" s="7"/>
    </row>
    <row r="24" spans="2:13" ht="24.75" customHeight="1" thickBot="1" x14ac:dyDescent="0.4">
      <c r="B24" s="300"/>
      <c r="C24" s="302"/>
      <c r="D24" s="304"/>
      <c r="E24" s="306"/>
      <c r="F24" s="306"/>
      <c r="G24" s="308"/>
      <c r="H24" s="306"/>
      <c r="I24" s="12" t="s">
        <v>22</v>
      </c>
      <c r="J24" s="12" t="s">
        <v>12</v>
      </c>
      <c r="K24" s="284"/>
      <c r="L24" s="7"/>
    </row>
    <row r="25" spans="2:13" ht="30" customHeight="1" thickBot="1" x14ac:dyDescent="0.5">
      <c r="B25" s="13" t="s">
        <v>13</v>
      </c>
      <c r="C25" s="14"/>
      <c r="D25" s="15"/>
      <c r="E25" s="16">
        <f>SUM(E26:E62)</f>
        <v>438.46999999999997</v>
      </c>
      <c r="F25" s="17">
        <f>SUM(F26:F62)</f>
        <v>263.04766799434663</v>
      </c>
      <c r="G25" s="18" t="e">
        <f>G33+G43+G52+G59+G63</f>
        <v>#REF!</v>
      </c>
      <c r="H25" s="18">
        <f>SUM(H26:H31)+SUM(H36:H41)+SUM(H45:H51)+SUM(H55:H58)+SUM(H61:H62)</f>
        <v>171.89306313999998</v>
      </c>
      <c r="I25" s="19"/>
      <c r="J25" s="20"/>
      <c r="K25" s="21" t="s">
        <v>117</v>
      </c>
      <c r="L25" s="7"/>
    </row>
    <row r="26" spans="2:13" ht="15.5" x14ac:dyDescent="0.35">
      <c r="B26" s="51">
        <v>1</v>
      </c>
      <c r="C26" s="52">
        <v>1</v>
      </c>
      <c r="D26" s="53" t="s">
        <v>23</v>
      </c>
      <c r="E26" s="54">
        <v>100</v>
      </c>
      <c r="F26" s="55">
        <f>M26*M$20/M$84</f>
        <v>81.146087626879094</v>
      </c>
      <c r="G26" s="56" t="e">
        <f>L26</f>
        <v>#REF!</v>
      </c>
      <c r="H26" s="263">
        <v>52.15</v>
      </c>
      <c r="I26" s="57">
        <v>20</v>
      </c>
      <c r="J26" s="58">
        <v>16.7</v>
      </c>
      <c r="K26" s="59"/>
      <c r="L26" s="60" t="e">
        <f>F26*L$20/E$95</f>
        <v>#REF!</v>
      </c>
      <c r="M26" s="61">
        <v>228</v>
      </c>
    </row>
    <row r="27" spans="2:13" ht="15.5" x14ac:dyDescent="0.35">
      <c r="B27" s="62">
        <f>B26+1</f>
        <v>2</v>
      </c>
      <c r="C27" s="63">
        <f>C26+1</f>
        <v>2</v>
      </c>
      <c r="D27" s="64" t="s">
        <v>24</v>
      </c>
      <c r="E27" s="65">
        <v>25</v>
      </c>
      <c r="F27" s="55">
        <f>M27*M$20/M$84</f>
        <v>15.303867403314916</v>
      </c>
      <c r="G27" s="56" t="e">
        <f t="shared" ref="G27:G68" si="0">L27</f>
        <v>#REF!</v>
      </c>
      <c r="H27" s="263">
        <v>12.265745300000001</v>
      </c>
      <c r="I27" s="66">
        <v>24.6</v>
      </c>
      <c r="J27" s="67">
        <v>9.8000000000000007</v>
      </c>
      <c r="K27" s="68"/>
      <c r="L27" s="60" t="e">
        <f>F27*L$20/E$95</f>
        <v>#REF!</v>
      </c>
      <c r="M27" s="61">
        <v>43</v>
      </c>
    </row>
    <row r="28" spans="2:13" ht="15.5" x14ac:dyDescent="0.35">
      <c r="B28" s="62">
        <f t="shared" ref="B28:C31" si="1">B27+1</f>
        <v>3</v>
      </c>
      <c r="C28" s="63">
        <v>3</v>
      </c>
      <c r="D28" s="69" t="s">
        <v>25</v>
      </c>
      <c r="E28" s="70">
        <v>100</v>
      </c>
      <c r="F28" s="55">
        <v>10</v>
      </c>
      <c r="G28" s="56">
        <v>10</v>
      </c>
      <c r="H28" s="71">
        <v>10</v>
      </c>
      <c r="I28" s="72"/>
      <c r="J28" s="73"/>
      <c r="K28" s="68"/>
      <c r="L28" s="60">
        <v>10</v>
      </c>
      <c r="M28" s="61">
        <v>0</v>
      </c>
    </row>
    <row r="29" spans="2:13" ht="18" customHeight="1" x14ac:dyDescent="0.35">
      <c r="B29" s="62">
        <f t="shared" si="1"/>
        <v>4</v>
      </c>
      <c r="C29" s="63">
        <v>4</v>
      </c>
      <c r="D29" s="64" t="s">
        <v>26</v>
      </c>
      <c r="E29" s="65">
        <v>34</v>
      </c>
      <c r="F29" s="55">
        <f>M29*M$20/M$84</f>
        <v>0.4270846717204162</v>
      </c>
      <c r="G29" s="56" t="e">
        <f t="shared" si="0"/>
        <v>#REF!</v>
      </c>
      <c r="H29" s="263">
        <v>8.5970000000000005E-2</v>
      </c>
      <c r="I29" s="66">
        <v>26</v>
      </c>
      <c r="J29" s="67">
        <v>19.100000000000001</v>
      </c>
      <c r="K29" s="75"/>
      <c r="L29" s="60" t="e">
        <f>F29*L$20/E$95</f>
        <v>#REF!</v>
      </c>
      <c r="M29" s="61">
        <v>1.2</v>
      </c>
    </row>
    <row r="30" spans="2:13" ht="20.25" customHeight="1" x14ac:dyDescent="0.35">
      <c r="B30" s="62">
        <f t="shared" si="1"/>
        <v>5</v>
      </c>
      <c r="C30" s="63">
        <f t="shared" si="1"/>
        <v>5</v>
      </c>
      <c r="D30" s="64" t="s">
        <v>28</v>
      </c>
      <c r="E30" s="65">
        <v>50</v>
      </c>
      <c r="F30" s="55">
        <f>M30*M$20/M$84</f>
        <v>40.928947706539894</v>
      </c>
      <c r="G30" s="56" t="e">
        <f>L30</f>
        <v>#REF!</v>
      </c>
      <c r="H30" s="263">
        <v>21.495088809999999</v>
      </c>
      <c r="I30" s="66">
        <v>22</v>
      </c>
      <c r="J30" s="67">
        <v>14.4</v>
      </c>
      <c r="K30" s="68"/>
      <c r="L30" s="60" t="e">
        <f>F30*L$20/E$95</f>
        <v>#REF!</v>
      </c>
      <c r="M30" s="61">
        <v>115</v>
      </c>
    </row>
    <row r="31" spans="2:13" ht="15.75" customHeight="1" x14ac:dyDescent="0.35">
      <c r="B31" s="62">
        <f t="shared" si="1"/>
        <v>6</v>
      </c>
      <c r="C31" s="63">
        <f t="shared" si="1"/>
        <v>6</v>
      </c>
      <c r="D31" s="64" t="s">
        <v>29</v>
      </c>
      <c r="E31" s="65">
        <v>90</v>
      </c>
      <c r="F31" s="55">
        <f>M31*M$20/M$84</f>
        <v>99.653090068097129</v>
      </c>
      <c r="G31" s="56" t="e">
        <f t="shared" si="0"/>
        <v>#REF!</v>
      </c>
      <c r="H31" s="263">
        <v>64.319000000000003</v>
      </c>
      <c r="I31" s="66">
        <v>19.2</v>
      </c>
      <c r="J31" s="67" t="s">
        <v>109</v>
      </c>
      <c r="L31" s="60" t="e">
        <f>F31*L$20/E$95</f>
        <v>#REF!</v>
      </c>
      <c r="M31" s="61">
        <v>280</v>
      </c>
    </row>
    <row r="32" spans="2:13" ht="15.5" x14ac:dyDescent="0.35">
      <c r="B32" s="62"/>
      <c r="C32" s="81"/>
      <c r="D32" s="82"/>
      <c r="E32" s="70"/>
      <c r="F32" s="55"/>
      <c r="G32" s="56"/>
      <c r="H32" s="71"/>
      <c r="I32" s="66"/>
      <c r="J32" s="67"/>
      <c r="K32" s="83"/>
      <c r="L32" s="60"/>
      <c r="M32" s="61"/>
    </row>
    <row r="33" spans="2:13" ht="18.5" x14ac:dyDescent="0.35">
      <c r="B33" s="62"/>
      <c r="C33" s="63"/>
      <c r="D33" s="64"/>
      <c r="E33" s="65"/>
      <c r="F33" s="55"/>
      <c r="G33" s="172" t="e">
        <f>SUM(G26:G31)</f>
        <v>#REF!</v>
      </c>
      <c r="H33" s="172">
        <f>SUM(H26:H31)</f>
        <v>160.31580410999999</v>
      </c>
      <c r="I33" s="66"/>
      <c r="J33" s="67"/>
      <c r="L33" s="60"/>
      <c r="M33" s="61"/>
    </row>
    <row r="34" spans="2:13" ht="14.15" customHeight="1" thickBot="1" x14ac:dyDescent="0.4">
      <c r="B34" s="84"/>
      <c r="C34" s="85"/>
      <c r="D34" s="86"/>
      <c r="E34" s="274"/>
      <c r="F34" s="78"/>
      <c r="G34" s="56"/>
      <c r="H34" s="165"/>
      <c r="I34" s="87"/>
      <c r="J34" s="88"/>
      <c r="K34" s="83"/>
      <c r="L34" s="60"/>
      <c r="M34" s="61"/>
    </row>
    <row r="35" spans="2:13" ht="24" customHeight="1" thickBot="1" x14ac:dyDescent="0.4">
      <c r="B35" s="89"/>
      <c r="C35" s="90"/>
      <c r="D35" s="91" t="s">
        <v>30</v>
      </c>
      <c r="E35" s="92"/>
      <c r="F35" s="185"/>
      <c r="G35" s="93"/>
      <c r="H35" s="267"/>
      <c r="I35" s="94"/>
      <c r="J35" s="95"/>
      <c r="K35" s="83"/>
      <c r="L35" s="60"/>
      <c r="M35" s="61"/>
    </row>
    <row r="36" spans="2:13" ht="15.5" x14ac:dyDescent="0.35">
      <c r="B36" s="96">
        <v>49</v>
      </c>
      <c r="C36" s="97">
        <v>49</v>
      </c>
      <c r="D36" s="98" t="s">
        <v>31</v>
      </c>
      <c r="E36" s="275">
        <v>5</v>
      </c>
      <c r="F36" s="184">
        <f>M36*M$20/M$84</f>
        <v>1.7795194655017343</v>
      </c>
      <c r="G36" s="56" t="e">
        <f t="shared" si="0"/>
        <v>#REF!</v>
      </c>
      <c r="H36" s="263">
        <v>2.2091187099999998</v>
      </c>
      <c r="I36" s="99">
        <v>26</v>
      </c>
      <c r="J36" s="100">
        <v>24</v>
      </c>
      <c r="K36" s="75"/>
      <c r="L36" s="60" t="e">
        <f>F36*L$20/E$95</f>
        <v>#REF!</v>
      </c>
      <c r="M36" s="61">
        <v>5</v>
      </c>
    </row>
    <row r="37" spans="2:13" ht="15.5" x14ac:dyDescent="0.35">
      <c r="B37" s="96">
        <f>B36+1</f>
        <v>50</v>
      </c>
      <c r="C37" s="63">
        <f>C36+1</f>
        <v>50</v>
      </c>
      <c r="D37" s="64" t="s">
        <v>32</v>
      </c>
      <c r="E37" s="65">
        <v>1</v>
      </c>
      <c r="F37" s="55">
        <f>M37*M$20/M$84</f>
        <v>0.24913272517024279</v>
      </c>
      <c r="G37" s="56" t="e">
        <f t="shared" si="0"/>
        <v>#REF!</v>
      </c>
      <c r="H37" s="263">
        <v>0.23980370000000001</v>
      </c>
      <c r="I37" s="66">
        <v>24</v>
      </c>
      <c r="J37" s="67">
        <v>3.5</v>
      </c>
      <c r="K37" s="75"/>
      <c r="L37" s="60" t="e">
        <f>F37*L$20/E$95</f>
        <v>#REF!</v>
      </c>
      <c r="M37" s="61">
        <v>0.7</v>
      </c>
    </row>
    <row r="38" spans="2:13" ht="15.5" x14ac:dyDescent="0.35">
      <c r="B38" s="62">
        <f t="shared" ref="B38:C40" si="2">B37+1</f>
        <v>51</v>
      </c>
      <c r="C38" s="63">
        <f t="shared" si="2"/>
        <v>51</v>
      </c>
      <c r="D38" s="64" t="s">
        <v>33</v>
      </c>
      <c r="E38" s="65">
        <v>1</v>
      </c>
      <c r="F38" s="55">
        <f>M38*M$20/M$84</f>
        <v>0.24913272517024279</v>
      </c>
      <c r="G38" s="56" t="e">
        <f t="shared" si="0"/>
        <v>#REF!</v>
      </c>
      <c r="H38" s="263">
        <v>0.16127530000000001</v>
      </c>
      <c r="I38" s="66">
        <v>24</v>
      </c>
      <c r="J38" s="67">
        <v>3</v>
      </c>
      <c r="K38" s="75"/>
      <c r="L38" s="60" t="e">
        <f>F38*L$20/E$95</f>
        <v>#REF!</v>
      </c>
      <c r="M38" s="61">
        <v>0.7</v>
      </c>
    </row>
    <row r="39" spans="2:13" ht="15.5" x14ac:dyDescent="0.35">
      <c r="B39" s="62">
        <f t="shared" si="2"/>
        <v>52</v>
      </c>
      <c r="C39" s="63">
        <f t="shared" si="2"/>
        <v>52</v>
      </c>
      <c r="D39" s="64" t="s">
        <v>34</v>
      </c>
      <c r="E39" s="65">
        <v>2</v>
      </c>
      <c r="F39" s="55">
        <f>M39*M$20/M$84</f>
        <v>0.35590389310034687</v>
      </c>
      <c r="G39" s="56" t="e">
        <f t="shared" si="0"/>
        <v>#REF!</v>
      </c>
      <c r="H39" s="264">
        <v>0.29372920000000002</v>
      </c>
      <c r="I39" s="66">
        <v>22</v>
      </c>
      <c r="J39" s="67">
        <v>3.8</v>
      </c>
      <c r="K39" s="75"/>
      <c r="L39" s="60" t="e">
        <f>F39*L$20/E$95</f>
        <v>#REF!</v>
      </c>
      <c r="M39" s="61">
        <v>1</v>
      </c>
    </row>
    <row r="40" spans="2:13" ht="15.5" x14ac:dyDescent="0.35">
      <c r="B40" s="62">
        <f t="shared" si="2"/>
        <v>53</v>
      </c>
      <c r="C40" s="63">
        <f t="shared" si="2"/>
        <v>53</v>
      </c>
      <c r="D40" s="64" t="s">
        <v>35</v>
      </c>
      <c r="E40" s="65">
        <v>1</v>
      </c>
      <c r="F40" s="55">
        <f>M40*M$20/M$84</f>
        <v>0.17795194655017343</v>
      </c>
      <c r="G40" s="56" t="e">
        <f t="shared" si="0"/>
        <v>#REF!</v>
      </c>
      <c r="H40" s="263">
        <v>8.9016910000000005E-2</v>
      </c>
      <c r="I40" s="66">
        <v>23</v>
      </c>
      <c r="J40" s="67">
        <v>3.5</v>
      </c>
      <c r="K40" s="75"/>
      <c r="L40" s="60" t="e">
        <f>F40*L$20/E$95</f>
        <v>#REF!</v>
      </c>
      <c r="M40" s="61">
        <v>0.5</v>
      </c>
    </row>
    <row r="41" spans="2:13" ht="21" customHeight="1" x14ac:dyDescent="0.35">
      <c r="B41" s="62" t="e">
        <f>#REF!+1</f>
        <v>#REF!</v>
      </c>
      <c r="C41" s="63" t="e">
        <f>#REF!+1</f>
        <v>#REF!</v>
      </c>
      <c r="D41" s="77" t="s">
        <v>103</v>
      </c>
      <c r="E41" s="70">
        <v>0.5</v>
      </c>
      <c r="F41" s="186">
        <f>M41*M$20/M$84</f>
        <v>0.35590389310034687</v>
      </c>
      <c r="G41" s="56" t="e">
        <f t="shared" si="0"/>
        <v>#REF!</v>
      </c>
      <c r="H41" s="263">
        <v>1.251553E-2</v>
      </c>
      <c r="I41" s="66">
        <v>24</v>
      </c>
      <c r="J41" s="67">
        <v>4</v>
      </c>
      <c r="K41" s="75"/>
      <c r="L41" s="60" t="e">
        <f>F41*L$20/E$95</f>
        <v>#REF!</v>
      </c>
      <c r="M41" s="80">
        <v>1</v>
      </c>
    </row>
    <row r="42" spans="2:13" ht="15.5" x14ac:dyDescent="0.35">
      <c r="B42" s="62"/>
      <c r="C42" s="85"/>
      <c r="D42" s="104"/>
      <c r="E42" s="105"/>
      <c r="F42" s="55"/>
      <c r="G42" s="79"/>
      <c r="H42" s="165"/>
      <c r="I42" s="87"/>
      <c r="J42" s="102"/>
      <c r="K42" s="74"/>
      <c r="L42" s="60"/>
      <c r="M42" s="80"/>
    </row>
    <row r="43" spans="2:13" ht="19" thickBot="1" x14ac:dyDescent="0.4">
      <c r="B43" s="84"/>
      <c r="C43" s="85"/>
      <c r="D43" s="103"/>
      <c r="E43" s="101"/>
      <c r="F43" s="78"/>
      <c r="G43" s="173" t="e">
        <f>SUM(G36:G41)</f>
        <v>#REF!</v>
      </c>
      <c r="H43" s="173">
        <f>SUM(H36:H41)</f>
        <v>3.0054593499999998</v>
      </c>
      <c r="I43" s="87"/>
      <c r="J43" s="102"/>
      <c r="K43" s="75"/>
      <c r="L43" s="60"/>
      <c r="M43" s="61"/>
    </row>
    <row r="44" spans="2:13" ht="20.25" customHeight="1" thickBot="1" x14ac:dyDescent="0.4">
      <c r="B44" s="106"/>
      <c r="C44" s="107"/>
      <c r="D44" s="91" t="s">
        <v>36</v>
      </c>
      <c r="E44" s="108"/>
      <c r="F44" s="185"/>
      <c r="G44" s="93"/>
      <c r="H44" s="268"/>
      <c r="I44" s="94"/>
      <c r="J44" s="109"/>
      <c r="K44" s="75"/>
      <c r="L44" s="60"/>
      <c r="M44" s="61"/>
    </row>
    <row r="45" spans="2:13" ht="21.75" customHeight="1" x14ac:dyDescent="0.35">
      <c r="B45" s="51">
        <v>87</v>
      </c>
      <c r="C45" s="110">
        <v>87</v>
      </c>
      <c r="D45" s="111" t="s">
        <v>37</v>
      </c>
      <c r="E45" s="275">
        <v>1.5</v>
      </c>
      <c r="F45" s="184">
        <f>M45*M$20/M$84</f>
        <v>0.88975973275086717</v>
      </c>
      <c r="G45" s="56" t="e">
        <f t="shared" si="0"/>
        <v>#REF!</v>
      </c>
      <c r="H45" s="269">
        <v>0.74426610000000004</v>
      </c>
      <c r="I45" s="99">
        <v>16</v>
      </c>
      <c r="J45" s="100">
        <v>3.8</v>
      </c>
      <c r="K45" s="177"/>
      <c r="L45" s="60" t="e">
        <f>F45*L$20/E$95</f>
        <v>#REF!</v>
      </c>
      <c r="M45" s="61">
        <v>2.5</v>
      </c>
    </row>
    <row r="46" spans="2:13" ht="15.5" x14ac:dyDescent="0.35">
      <c r="B46" s="62">
        <f>B45+1</f>
        <v>88</v>
      </c>
      <c r="C46" s="112">
        <f>C45+1</f>
        <v>88</v>
      </c>
      <c r="D46" s="113" t="s">
        <v>38</v>
      </c>
      <c r="E46" s="274">
        <v>1.5</v>
      </c>
      <c r="F46" s="55">
        <f>M46*M$20/M$84</f>
        <v>1.4236155724013875</v>
      </c>
      <c r="G46" s="56" t="e">
        <f t="shared" si="0"/>
        <v>#REF!</v>
      </c>
      <c r="H46" s="265">
        <v>1.1709221999999999</v>
      </c>
      <c r="I46" s="87">
        <v>17</v>
      </c>
      <c r="J46" s="88">
        <v>4.3</v>
      </c>
      <c r="K46" s="75"/>
      <c r="L46" s="60" t="e">
        <f>F46*L$20/E$95</f>
        <v>#REF!</v>
      </c>
      <c r="M46" s="61">
        <v>4</v>
      </c>
    </row>
    <row r="47" spans="2:13" ht="18.75" customHeight="1" x14ac:dyDescent="0.35">
      <c r="B47" s="62">
        <f t="shared" ref="B47:C51" si="3">B46+1</f>
        <v>89</v>
      </c>
      <c r="C47" s="112">
        <f t="shared" si="3"/>
        <v>89</v>
      </c>
      <c r="D47" s="114" t="s">
        <v>39</v>
      </c>
      <c r="E47" s="101">
        <v>1.5</v>
      </c>
      <c r="F47" s="55">
        <f>M47*M$20/M$84</f>
        <v>1.0677116793010406</v>
      </c>
      <c r="G47" s="56" t="e">
        <f t="shared" si="0"/>
        <v>#REF!</v>
      </c>
      <c r="H47" s="265">
        <v>0.47842653000000002</v>
      </c>
      <c r="I47" s="87">
        <v>14</v>
      </c>
      <c r="J47" s="102">
        <v>4.0999999999999996</v>
      </c>
      <c r="K47" s="75"/>
      <c r="L47" s="60" t="e">
        <f>F47*L$20/E$95</f>
        <v>#REF!</v>
      </c>
      <c r="M47" s="61">
        <v>3</v>
      </c>
    </row>
    <row r="48" spans="2:13" ht="15.5" x14ac:dyDescent="0.35">
      <c r="B48" s="62">
        <f t="shared" si="3"/>
        <v>90</v>
      </c>
      <c r="C48" s="112">
        <f t="shared" si="3"/>
        <v>90</v>
      </c>
      <c r="D48" s="115" t="s">
        <v>40</v>
      </c>
      <c r="E48" s="65">
        <v>1.27</v>
      </c>
      <c r="F48" s="55">
        <f>M48*M$20/M$84</f>
        <v>0.3203135037903122</v>
      </c>
      <c r="G48" s="56" t="e">
        <f t="shared" si="0"/>
        <v>#REF!</v>
      </c>
      <c r="H48" s="263">
        <v>0.22899681</v>
      </c>
      <c r="I48" s="66">
        <v>16.8</v>
      </c>
      <c r="J48" s="67">
        <v>3.9</v>
      </c>
      <c r="K48" s="75"/>
      <c r="L48" s="60" t="e">
        <f>F48*L$20/E$95</f>
        <v>#REF!</v>
      </c>
      <c r="M48" s="61">
        <v>0.9</v>
      </c>
    </row>
    <row r="49" spans="2:13" ht="15" customHeight="1" x14ac:dyDescent="0.35">
      <c r="B49" s="62" t="e">
        <f>#REF!+1</f>
        <v>#REF!</v>
      </c>
      <c r="C49" s="112" t="e">
        <f>#REF!+1</f>
        <v>#REF!</v>
      </c>
      <c r="D49" s="69" t="s">
        <v>42</v>
      </c>
      <c r="E49" s="275">
        <v>1.7</v>
      </c>
      <c r="F49" s="184">
        <f>M49*M$20/M$84</f>
        <v>5.3385583965052025E-2</v>
      </c>
      <c r="G49" s="56" t="e">
        <f t="shared" si="0"/>
        <v>#REF!</v>
      </c>
      <c r="H49" s="71">
        <v>2.1244579999999999E-2</v>
      </c>
      <c r="I49" s="66">
        <v>21</v>
      </c>
      <c r="J49" s="67">
        <v>2.1</v>
      </c>
      <c r="K49" s="75"/>
      <c r="L49" s="60" t="e">
        <f>F49*L$20/E$95</f>
        <v>#REF!</v>
      </c>
      <c r="M49" s="61">
        <v>0.15</v>
      </c>
    </row>
    <row r="50" spans="2:13" ht="15" customHeight="1" x14ac:dyDescent="0.35">
      <c r="B50" s="62" t="e">
        <f t="shared" si="3"/>
        <v>#REF!</v>
      </c>
      <c r="C50" s="112" t="e">
        <f t="shared" si="3"/>
        <v>#REF!</v>
      </c>
      <c r="D50" s="69" t="s">
        <v>43</v>
      </c>
      <c r="E50" s="275">
        <v>1</v>
      </c>
      <c r="F50" s="184">
        <f>M50*M$20/M$84</f>
        <v>5.3385583965052025E-2</v>
      </c>
      <c r="G50" s="56" t="e">
        <f t="shared" si="0"/>
        <v>#REF!</v>
      </c>
      <c r="H50" s="71">
        <v>0</v>
      </c>
      <c r="I50" s="66">
        <v>18</v>
      </c>
      <c r="J50" s="67">
        <v>0</v>
      </c>
      <c r="K50" s="75" t="s">
        <v>87</v>
      </c>
      <c r="L50" s="60" t="e">
        <f>F50*L$20/E$95</f>
        <v>#REF!</v>
      </c>
      <c r="M50" s="61">
        <v>0.15</v>
      </c>
    </row>
    <row r="51" spans="2:13" ht="19.25" customHeight="1" x14ac:dyDescent="0.35">
      <c r="B51" s="62" t="e">
        <f t="shared" si="3"/>
        <v>#REF!</v>
      </c>
      <c r="C51" s="112" t="e">
        <f t="shared" si="3"/>
        <v>#REF!</v>
      </c>
      <c r="D51" s="183" t="s">
        <v>85</v>
      </c>
      <c r="E51" s="275"/>
      <c r="F51" s="184">
        <f>M51*M$20/M$84</f>
        <v>1.4236155724013875</v>
      </c>
      <c r="G51" s="56" t="e">
        <f t="shared" si="0"/>
        <v>#REF!</v>
      </c>
      <c r="H51" s="159">
        <v>3.5063089999999998E-2</v>
      </c>
      <c r="I51" s="123">
        <v>17.600000000000001</v>
      </c>
      <c r="J51" s="179">
        <v>2.8</v>
      </c>
      <c r="K51" s="74"/>
      <c r="L51" s="60" t="e">
        <f>F51*L$20/E$95</f>
        <v>#REF!</v>
      </c>
      <c r="M51" s="61">
        <v>4</v>
      </c>
    </row>
    <row r="52" spans="2:13" ht="18.5" x14ac:dyDescent="0.35">
      <c r="B52" s="96"/>
      <c r="C52" s="116"/>
      <c r="D52" s="117"/>
      <c r="E52" s="275"/>
      <c r="F52" s="55"/>
      <c r="G52" s="172" t="e">
        <f>SUM(G45:G51)</f>
        <v>#REF!</v>
      </c>
      <c r="H52" s="172">
        <f>SUM(H45:H51)</f>
        <v>2.6789193099999999</v>
      </c>
      <c r="I52" s="66"/>
      <c r="J52" s="67"/>
      <c r="K52" s="118"/>
      <c r="L52" s="60"/>
      <c r="M52" s="61"/>
    </row>
    <row r="53" spans="2:13" ht="19" thickBot="1" x14ac:dyDescent="0.4">
      <c r="B53" s="84"/>
      <c r="C53" s="119"/>
      <c r="D53" s="120"/>
      <c r="E53" s="121"/>
      <c r="F53" s="78"/>
      <c r="G53" s="56"/>
      <c r="H53" s="256"/>
      <c r="I53" s="123"/>
      <c r="J53" s="124"/>
      <c r="K53" s="125"/>
      <c r="L53" s="60"/>
      <c r="M53" s="61"/>
    </row>
    <row r="54" spans="2:13" ht="18.75" customHeight="1" thickBot="1" x14ac:dyDescent="0.4">
      <c r="B54" s="106"/>
      <c r="C54" s="107"/>
      <c r="D54" s="226" t="s">
        <v>45</v>
      </c>
      <c r="E54" s="227"/>
      <c r="F54" s="228"/>
      <c r="G54" s="229"/>
      <c r="H54" s="270"/>
      <c r="I54" s="230"/>
      <c r="J54" s="231"/>
      <c r="K54" s="232"/>
      <c r="L54" s="60"/>
      <c r="M54" s="61"/>
    </row>
    <row r="55" spans="2:13" ht="21" customHeight="1" x14ac:dyDescent="0.35">
      <c r="B55" s="51">
        <v>100</v>
      </c>
      <c r="C55" s="52">
        <v>100</v>
      </c>
      <c r="D55" s="208" t="s">
        <v>46</v>
      </c>
      <c r="E55" s="54">
        <v>5</v>
      </c>
      <c r="F55" s="152">
        <f>M55*M$20/M$84</f>
        <v>1.0677116793010406</v>
      </c>
      <c r="G55" s="209" t="e">
        <f>L55</f>
        <v>#REF!</v>
      </c>
      <c r="H55" s="135">
        <v>1.6261219099999999</v>
      </c>
      <c r="I55" s="57">
        <v>24</v>
      </c>
      <c r="J55" s="58">
        <v>3.4</v>
      </c>
      <c r="K55" s="233"/>
      <c r="L55" s="60" t="e">
        <f>F55*L$20/E$95</f>
        <v>#REF!</v>
      </c>
      <c r="M55" s="61">
        <v>3</v>
      </c>
    </row>
    <row r="56" spans="2:13" ht="21" customHeight="1" x14ac:dyDescent="0.35">
      <c r="B56" s="126">
        <v>101</v>
      </c>
      <c r="C56" s="127">
        <v>101</v>
      </c>
      <c r="D56" s="191" t="s">
        <v>47</v>
      </c>
      <c r="E56" s="65">
        <v>5</v>
      </c>
      <c r="F56" s="184">
        <f>M56*M$20/M$84</f>
        <v>1.0677116793010406</v>
      </c>
      <c r="G56" s="273" t="e">
        <f>L56</f>
        <v>#REF!</v>
      </c>
      <c r="H56" s="271">
        <v>0.83104420999999995</v>
      </c>
      <c r="I56" s="192">
        <v>23.5</v>
      </c>
      <c r="J56" s="100">
        <v>6.4</v>
      </c>
      <c r="K56" s="68"/>
      <c r="L56" s="60" t="e">
        <f>F56*L$20/E$95</f>
        <v>#REF!</v>
      </c>
      <c r="M56" s="61">
        <v>3</v>
      </c>
    </row>
    <row r="57" spans="2:13" ht="21" customHeight="1" x14ac:dyDescent="0.35">
      <c r="B57" s="62">
        <v>102</v>
      </c>
      <c r="C57" s="63">
        <v>102</v>
      </c>
      <c r="D57" s="69" t="s">
        <v>48</v>
      </c>
      <c r="E57" s="65">
        <v>1</v>
      </c>
      <c r="F57" s="184">
        <f>M57*M$20/M$84</f>
        <v>0.17795194655017343</v>
      </c>
      <c r="G57" s="273" t="e">
        <f>L57</f>
        <v>#REF!</v>
      </c>
      <c r="H57" s="271">
        <v>4.7394470000000001E-2</v>
      </c>
      <c r="I57" s="192">
        <v>22</v>
      </c>
      <c r="J57" s="100">
        <v>3.9</v>
      </c>
      <c r="K57" s="75"/>
      <c r="L57" s="60" t="e">
        <f>F57*L$20/E$95</f>
        <v>#REF!</v>
      </c>
      <c r="M57" s="61">
        <v>0.5</v>
      </c>
    </row>
    <row r="58" spans="2:13" ht="18.75" customHeight="1" x14ac:dyDescent="0.35">
      <c r="B58" s="84">
        <v>103</v>
      </c>
      <c r="C58" s="85">
        <v>103</v>
      </c>
      <c r="D58" s="104" t="s">
        <v>89</v>
      </c>
      <c r="E58" s="65"/>
      <c r="F58" s="55"/>
      <c r="G58" s="186"/>
      <c r="H58" s="271">
        <v>0</v>
      </c>
      <c r="I58" s="128">
        <v>20</v>
      </c>
      <c r="J58" s="100">
        <v>0</v>
      </c>
      <c r="K58" s="75" t="s">
        <v>87</v>
      </c>
      <c r="L58" s="60" t="e">
        <f>F58*L$20/E$95</f>
        <v>#REF!</v>
      </c>
      <c r="M58" s="61">
        <v>0.5</v>
      </c>
    </row>
    <row r="59" spans="2:13" ht="19" thickBot="1" x14ac:dyDescent="0.4">
      <c r="B59" s="84"/>
      <c r="C59" s="85"/>
      <c r="D59" s="103"/>
      <c r="E59" s="121"/>
      <c r="F59" s="78"/>
      <c r="G59" s="173" t="e">
        <f>SUM(G55:G58)</f>
        <v>#REF!</v>
      </c>
      <c r="H59" s="173">
        <f>SUM(H55:H58)</f>
        <v>2.5045605900000001</v>
      </c>
      <c r="I59" s="123"/>
      <c r="J59" s="124"/>
      <c r="K59" s="125"/>
      <c r="L59" s="60" t="e">
        <f>F59*L$20/E$95</f>
        <v>#REF!</v>
      </c>
      <c r="M59" s="61"/>
    </row>
    <row r="60" spans="2:13" ht="19" thickBot="1" x14ac:dyDescent="0.4">
      <c r="B60" s="237"/>
      <c r="C60" s="252"/>
      <c r="D60" s="251" t="s">
        <v>49</v>
      </c>
      <c r="E60" s="276"/>
      <c r="F60" s="229"/>
      <c r="G60" s="235"/>
      <c r="H60" s="272"/>
      <c r="I60" s="236"/>
      <c r="J60" s="243"/>
      <c r="K60" s="245"/>
      <c r="L60" s="60" t="e">
        <f>F60*L$20/E$95</f>
        <v>#REF!</v>
      </c>
      <c r="M60" s="61"/>
    </row>
    <row r="61" spans="2:13" ht="20" customHeight="1" x14ac:dyDescent="0.35">
      <c r="B61" s="51">
        <v>104</v>
      </c>
      <c r="C61" s="52">
        <v>104</v>
      </c>
      <c r="D61" s="249" t="s">
        <v>50</v>
      </c>
      <c r="E61" s="54">
        <v>2</v>
      </c>
      <c r="F61" s="152">
        <f>M61*M$20/M$84</f>
        <v>1.3168444044712835</v>
      </c>
      <c r="G61" s="238" t="e">
        <f>L61</f>
        <v>#REF!</v>
      </c>
      <c r="H61" s="135">
        <v>1.1008337800000001</v>
      </c>
      <c r="I61" s="57">
        <v>22.2</v>
      </c>
      <c r="J61" s="136">
        <v>4.9000000000000004</v>
      </c>
      <c r="K61" s="247"/>
      <c r="L61" s="60" t="e">
        <f>F61*L$20/E$95</f>
        <v>#REF!</v>
      </c>
      <c r="M61" s="61">
        <v>3.7</v>
      </c>
    </row>
    <row r="62" spans="2:13" ht="20" customHeight="1" x14ac:dyDescent="0.35">
      <c r="B62" s="62">
        <v>105</v>
      </c>
      <c r="C62" s="63">
        <v>105</v>
      </c>
      <c r="D62" s="115" t="s">
        <v>51</v>
      </c>
      <c r="E62" s="65">
        <v>7.5</v>
      </c>
      <c r="F62" s="55">
        <f>M62*M$20/M$84</f>
        <v>3.5590389310034687</v>
      </c>
      <c r="G62" s="56" t="e">
        <f>L62</f>
        <v>#REF!</v>
      </c>
      <c r="H62" s="71">
        <v>2.2874859999999999</v>
      </c>
      <c r="I62" s="66">
        <v>23</v>
      </c>
      <c r="J62" s="139">
        <v>7</v>
      </c>
      <c r="K62" s="118"/>
      <c r="L62" s="60" t="e">
        <f>F62*L$20/E$95</f>
        <v>#REF!</v>
      </c>
      <c r="M62" s="61">
        <v>10</v>
      </c>
    </row>
    <row r="63" spans="2:13" ht="19" thickBot="1" x14ac:dyDescent="0.4">
      <c r="B63" s="129"/>
      <c r="C63" s="130"/>
      <c r="D63" s="250"/>
      <c r="E63" s="149"/>
      <c r="F63" s="239"/>
      <c r="G63" s="257" t="e">
        <f>SUM(G61:G62)</f>
        <v>#REF!</v>
      </c>
      <c r="H63" s="257">
        <f>SUM(H61:H62)</f>
        <v>3.3883197799999998</v>
      </c>
      <c r="I63" s="143"/>
      <c r="J63" s="242"/>
      <c r="K63" s="248"/>
      <c r="L63" s="60"/>
      <c r="M63" s="61"/>
    </row>
    <row r="64" spans="2:13" ht="19" thickBot="1" x14ac:dyDescent="0.4">
      <c r="B64" s="106"/>
      <c r="C64" s="240"/>
      <c r="D64" s="241"/>
      <c r="E64" s="276"/>
      <c r="F64" s="235"/>
      <c r="G64" s="235"/>
      <c r="H64" s="272"/>
      <c r="I64" s="230"/>
      <c r="J64" s="244"/>
      <c r="K64" s="246"/>
      <c r="L64" s="60"/>
      <c r="M64" s="61"/>
    </row>
    <row r="65" spans="2:13" ht="42.75" customHeight="1" thickBot="1" x14ac:dyDescent="0.5">
      <c r="B65" s="13" t="s">
        <v>14</v>
      </c>
      <c r="C65" s="30"/>
      <c r="D65" s="31"/>
      <c r="E65" s="26">
        <f>SUM(E66:E71)</f>
        <v>204</v>
      </c>
      <c r="F65" s="26">
        <f>SUM(F66:F71)</f>
        <v>95.919311319542601</v>
      </c>
      <c r="G65" s="26" t="e">
        <f>SUM(G66:G71)</f>
        <v>#REF!</v>
      </c>
      <c r="H65" s="26">
        <f>SUM(H66:H71)</f>
        <v>88.524999999999991</v>
      </c>
      <c r="I65" s="234"/>
      <c r="J65" s="34"/>
      <c r="K65" s="21" t="s">
        <v>52</v>
      </c>
      <c r="L65" s="60"/>
      <c r="M65" s="131"/>
    </row>
    <row r="66" spans="2:13" ht="18.649999999999999" customHeight="1" x14ac:dyDescent="0.35">
      <c r="B66" s="51">
        <v>106</v>
      </c>
      <c r="C66" s="132">
        <v>1</v>
      </c>
      <c r="D66" s="133" t="s">
        <v>53</v>
      </c>
      <c r="E66" s="134">
        <v>120</v>
      </c>
      <c r="F66" s="55">
        <v>50</v>
      </c>
      <c r="G66" s="273">
        <f t="shared" si="0"/>
        <v>50</v>
      </c>
      <c r="H66" s="135">
        <v>41.07</v>
      </c>
      <c r="I66" s="57">
        <v>23</v>
      </c>
      <c r="J66" s="136">
        <v>20</v>
      </c>
      <c r="K66" s="180" t="s">
        <v>113</v>
      </c>
      <c r="L66" s="60">
        <v>50</v>
      </c>
      <c r="M66" s="61">
        <v>0</v>
      </c>
    </row>
    <row r="67" spans="2:13" ht="18" customHeight="1" x14ac:dyDescent="0.35">
      <c r="B67" s="62">
        <f>B66+1</f>
        <v>107</v>
      </c>
      <c r="C67" s="76">
        <f>C66+1</f>
        <v>2</v>
      </c>
      <c r="D67" s="137" t="s">
        <v>54</v>
      </c>
      <c r="E67" s="138">
        <v>6</v>
      </c>
      <c r="F67" s="55">
        <f>M67*M$20/M$84</f>
        <v>0.28472311448027754</v>
      </c>
      <c r="G67" s="273" t="e">
        <f t="shared" si="0"/>
        <v>#REF!</v>
      </c>
      <c r="H67" s="71">
        <v>0.223</v>
      </c>
      <c r="I67" s="66">
        <v>23</v>
      </c>
      <c r="J67" s="139">
        <v>22</v>
      </c>
      <c r="K67" s="140" t="s">
        <v>55</v>
      </c>
      <c r="L67" s="60" t="e">
        <f>F67*L$20/E$95</f>
        <v>#REF!</v>
      </c>
      <c r="M67" s="61">
        <v>0.8</v>
      </c>
    </row>
    <row r="68" spans="2:13" ht="15.5" x14ac:dyDescent="0.35">
      <c r="B68" s="62">
        <f t="shared" ref="B68:B71" si="4">B67+1</f>
        <v>108</v>
      </c>
      <c r="C68" s="76">
        <v>3</v>
      </c>
      <c r="D68" s="147" t="s">
        <v>56</v>
      </c>
      <c r="E68" s="138"/>
      <c r="F68" s="55">
        <f>M68*M$20/M$84</f>
        <v>0.88975973275086717</v>
      </c>
      <c r="G68" s="273" t="e">
        <f t="shared" si="0"/>
        <v>#REF!</v>
      </c>
      <c r="H68" s="71">
        <v>1.1990000000000001</v>
      </c>
      <c r="I68" s="66">
        <v>25</v>
      </c>
      <c r="J68" s="139">
        <v>24</v>
      </c>
      <c r="K68" s="140" t="s">
        <v>55</v>
      </c>
      <c r="L68" s="60" t="e">
        <f>F68*L$20/E$95</f>
        <v>#REF!</v>
      </c>
      <c r="M68" s="61">
        <v>2.5</v>
      </c>
    </row>
    <row r="69" spans="2:13" ht="19.25" customHeight="1" x14ac:dyDescent="0.35">
      <c r="B69" s="62">
        <f t="shared" si="4"/>
        <v>109</v>
      </c>
      <c r="C69" s="76">
        <v>4</v>
      </c>
      <c r="D69" s="137" t="s">
        <v>57</v>
      </c>
      <c r="E69" s="138">
        <v>60</v>
      </c>
      <c r="F69" s="55">
        <v>33</v>
      </c>
      <c r="G69" s="273">
        <f t="shared" ref="G69:G83" si="5">L69</f>
        <v>33</v>
      </c>
      <c r="H69" s="71">
        <v>37.28</v>
      </c>
      <c r="I69" s="66">
        <v>24</v>
      </c>
      <c r="J69" s="139">
        <v>20.399999999999999</v>
      </c>
      <c r="K69" s="224" t="s">
        <v>55</v>
      </c>
      <c r="L69" s="60">
        <v>33</v>
      </c>
      <c r="M69" s="61">
        <v>0</v>
      </c>
    </row>
    <row r="70" spans="2:13" ht="15.5" x14ac:dyDescent="0.35">
      <c r="B70" s="62">
        <f t="shared" si="4"/>
        <v>110</v>
      </c>
      <c r="C70" s="76">
        <v>5</v>
      </c>
      <c r="D70" s="141" t="s">
        <v>58</v>
      </c>
      <c r="E70" s="138">
        <v>6</v>
      </c>
      <c r="F70" s="55">
        <f>M70*M$20/M$84</f>
        <v>4.2708467172041624</v>
      </c>
      <c r="G70" s="273" t="e">
        <f t="shared" si="5"/>
        <v>#REF!</v>
      </c>
      <c r="H70" s="71">
        <v>3.7490000000000001</v>
      </c>
      <c r="I70" s="66">
        <v>25</v>
      </c>
      <c r="J70" s="139">
        <v>3.4</v>
      </c>
      <c r="K70" s="140" t="s">
        <v>55</v>
      </c>
      <c r="L70" s="60" t="e">
        <f>F70*L$20/E$95</f>
        <v>#REF!</v>
      </c>
      <c r="M70" s="61">
        <v>12</v>
      </c>
    </row>
    <row r="71" spans="2:13" ht="16" thickBot="1" x14ac:dyDescent="0.4">
      <c r="B71" s="62">
        <f t="shared" si="4"/>
        <v>111</v>
      </c>
      <c r="C71" s="162">
        <v>6</v>
      </c>
      <c r="D71" s="163" t="s">
        <v>59</v>
      </c>
      <c r="E71" s="164">
        <v>12</v>
      </c>
      <c r="F71" s="55">
        <f>M71*M$20/M$84</f>
        <v>7.4739817551072845</v>
      </c>
      <c r="G71" s="190" t="e">
        <f t="shared" si="5"/>
        <v>#REF!</v>
      </c>
      <c r="H71" s="165">
        <v>5.0039999999999996</v>
      </c>
      <c r="I71" s="87">
        <v>24</v>
      </c>
      <c r="J71" s="155">
        <v>2.5</v>
      </c>
      <c r="K71" s="223" t="s">
        <v>55</v>
      </c>
      <c r="L71" s="60" t="e">
        <f>F71*L$20/E$95</f>
        <v>#REF!</v>
      </c>
      <c r="M71" s="61">
        <v>21</v>
      </c>
    </row>
    <row r="72" spans="2:13" ht="49.25" customHeight="1" thickBot="1" x14ac:dyDescent="0.5">
      <c r="B72" s="13" t="s">
        <v>15</v>
      </c>
      <c r="C72" s="30"/>
      <c r="D72" s="31"/>
      <c r="E72" s="16">
        <f>SUM(E73:E77)</f>
        <v>28.7</v>
      </c>
      <c r="F72" s="16">
        <f>SUM(F73:F77)</f>
        <v>10.143260953359885</v>
      </c>
      <c r="G72" s="32" t="e">
        <f>SUM(G73:G77)</f>
        <v>#REF!</v>
      </c>
      <c r="H72" s="32">
        <f>SUM(H73:H77)</f>
        <v>7.3289999999999997</v>
      </c>
      <c r="I72" s="33"/>
      <c r="J72" s="34"/>
      <c r="K72" s="35" t="s">
        <v>84</v>
      </c>
      <c r="L72" s="60"/>
      <c r="M72" s="131"/>
    </row>
    <row r="73" spans="2:13" ht="15.5" x14ac:dyDescent="0.35">
      <c r="B73" s="51">
        <v>112</v>
      </c>
      <c r="C73" s="52">
        <v>1</v>
      </c>
      <c r="D73" s="144" t="s">
        <v>60</v>
      </c>
      <c r="E73" s="54">
        <v>9.6</v>
      </c>
      <c r="F73" s="55">
        <f>M73*M$20/M$84</f>
        <v>1.7795194655017343</v>
      </c>
      <c r="G73" s="56" t="e">
        <f t="shared" si="5"/>
        <v>#REF!</v>
      </c>
      <c r="H73" s="135">
        <v>2.7189999999999999</v>
      </c>
      <c r="I73" s="57">
        <v>50</v>
      </c>
      <c r="J73" s="58">
        <v>4.3</v>
      </c>
      <c r="K73" s="145" t="s">
        <v>55</v>
      </c>
      <c r="L73" s="60" t="e">
        <f>F73*L$20/E$95</f>
        <v>#REF!</v>
      </c>
      <c r="M73" s="61">
        <v>5</v>
      </c>
    </row>
    <row r="74" spans="2:13" ht="15.5" x14ac:dyDescent="0.35">
      <c r="B74" s="62">
        <f>B73+1</f>
        <v>113</v>
      </c>
      <c r="C74" s="63">
        <f>C73+1</f>
        <v>2</v>
      </c>
      <c r="D74" s="137" t="s">
        <v>61</v>
      </c>
      <c r="E74" s="65">
        <v>5</v>
      </c>
      <c r="F74" s="55">
        <f>M74*M$20/M$84</f>
        <v>2.4913272517024283</v>
      </c>
      <c r="G74" s="56" t="e">
        <f t="shared" si="5"/>
        <v>#REF!</v>
      </c>
      <c r="H74" s="71">
        <v>0.63900000000000001</v>
      </c>
      <c r="I74" s="66">
        <v>45</v>
      </c>
      <c r="J74" s="67">
        <v>8</v>
      </c>
      <c r="K74" s="146" t="s">
        <v>55</v>
      </c>
      <c r="L74" s="60" t="e">
        <f>F74*L$20/E$95</f>
        <v>#REF!</v>
      </c>
      <c r="M74" s="61">
        <v>7</v>
      </c>
    </row>
    <row r="75" spans="2:13" ht="15.5" x14ac:dyDescent="0.35">
      <c r="B75" s="62">
        <f t="shared" ref="B75:C77" si="6">B74+1</f>
        <v>114</v>
      </c>
      <c r="C75" s="63">
        <f t="shared" si="6"/>
        <v>3</v>
      </c>
      <c r="D75" s="137" t="s">
        <v>62</v>
      </c>
      <c r="E75" s="65">
        <v>5.6</v>
      </c>
      <c r="F75" s="55">
        <f>M75*M$20/M$84</f>
        <v>0.5338558396505203</v>
      </c>
      <c r="G75" s="56" t="e">
        <f t="shared" si="5"/>
        <v>#REF!</v>
      </c>
      <c r="H75" s="71">
        <v>1.1120000000000001</v>
      </c>
      <c r="I75" s="66">
        <v>43</v>
      </c>
      <c r="J75" s="67">
        <v>12</v>
      </c>
      <c r="K75" s="146" t="s">
        <v>55</v>
      </c>
      <c r="L75" s="60" t="e">
        <f>F75*L$20/E$95</f>
        <v>#REF!</v>
      </c>
      <c r="M75" s="61">
        <v>1.5</v>
      </c>
    </row>
    <row r="76" spans="2:13" ht="15.5" x14ac:dyDescent="0.35">
      <c r="B76" s="62" t="e">
        <f>#REF!+1</f>
        <v>#REF!</v>
      </c>
      <c r="C76" s="63">
        <v>12</v>
      </c>
      <c r="D76" s="137" t="s">
        <v>65</v>
      </c>
      <c r="E76" s="65">
        <v>8.5</v>
      </c>
      <c r="F76" s="55">
        <v>0</v>
      </c>
      <c r="G76" s="56">
        <f>L76</f>
        <v>0</v>
      </c>
      <c r="H76" s="71">
        <v>0</v>
      </c>
      <c r="I76" s="66">
        <v>2</v>
      </c>
      <c r="J76" s="67">
        <v>0</v>
      </c>
      <c r="K76" s="146" t="s">
        <v>66</v>
      </c>
      <c r="L76" s="60">
        <v>0</v>
      </c>
      <c r="M76" s="61">
        <v>0</v>
      </c>
    </row>
    <row r="77" spans="2:13" ht="16" thickBot="1" x14ac:dyDescent="0.4">
      <c r="B77" s="62" t="e">
        <f t="shared" si="6"/>
        <v>#REF!</v>
      </c>
      <c r="C77" s="85">
        <v>13</v>
      </c>
      <c r="D77" s="148" t="s">
        <v>67</v>
      </c>
      <c r="E77" s="149">
        <v>0</v>
      </c>
      <c r="F77" s="55">
        <f>M77*M$20/M$84</f>
        <v>5.3385583965052028</v>
      </c>
      <c r="G77" s="56" t="e">
        <f t="shared" si="5"/>
        <v>#REF!</v>
      </c>
      <c r="H77" s="150">
        <v>2.859</v>
      </c>
      <c r="I77" s="143">
        <v>45</v>
      </c>
      <c r="J77" s="151">
        <v>21</v>
      </c>
      <c r="K77" s="225" t="s">
        <v>68</v>
      </c>
      <c r="L77" s="60" t="e">
        <f>F77*L$20/E$95</f>
        <v>#REF!</v>
      </c>
      <c r="M77" s="61">
        <v>15</v>
      </c>
    </row>
    <row r="78" spans="2:13" ht="48" customHeight="1" thickBot="1" x14ac:dyDescent="0.5">
      <c r="B78" s="13" t="s">
        <v>16</v>
      </c>
      <c r="C78" s="30"/>
      <c r="D78" s="36"/>
      <c r="E78" s="16">
        <f>E79+E83+E82</f>
        <v>22.4</v>
      </c>
      <c r="F78" s="37">
        <v>3</v>
      </c>
      <c r="G78" s="37">
        <v>3</v>
      </c>
      <c r="H78" s="37">
        <f>SUM(H79:H83)</f>
        <v>2.3219098200000001</v>
      </c>
      <c r="I78" s="33"/>
      <c r="J78" s="34"/>
      <c r="K78" s="38" t="s">
        <v>69</v>
      </c>
      <c r="L78" s="60"/>
      <c r="M78" s="131"/>
    </row>
    <row r="79" spans="2:13" ht="19.5" customHeight="1" x14ac:dyDescent="0.35">
      <c r="B79" s="51">
        <v>125</v>
      </c>
      <c r="C79" s="52">
        <v>1</v>
      </c>
      <c r="D79" s="133" t="s">
        <v>70</v>
      </c>
      <c r="E79" s="286">
        <v>20.399999999999999</v>
      </c>
      <c r="F79" s="152">
        <v>3</v>
      </c>
      <c r="G79" s="56">
        <v>3</v>
      </c>
      <c r="H79" s="135">
        <v>2.3219098200000001</v>
      </c>
      <c r="I79" s="153">
        <v>42.92</v>
      </c>
      <c r="J79" s="154">
        <v>31.83</v>
      </c>
      <c r="K79" s="176" t="s">
        <v>55</v>
      </c>
      <c r="L79" s="60">
        <v>0</v>
      </c>
      <c r="M79" s="61">
        <v>0</v>
      </c>
    </row>
    <row r="80" spans="2:13" ht="19.5" customHeight="1" x14ac:dyDescent="0.35">
      <c r="B80" s="62">
        <f>B79+1</f>
        <v>126</v>
      </c>
      <c r="C80" s="127">
        <v>2</v>
      </c>
      <c r="D80" s="216" t="s">
        <v>71</v>
      </c>
      <c r="E80" s="287"/>
      <c r="F80" s="122">
        <v>0</v>
      </c>
      <c r="G80" s="220">
        <f>L80</f>
        <v>0</v>
      </c>
      <c r="H80" s="159">
        <v>0</v>
      </c>
      <c r="I80" s="170"/>
      <c r="J80" s="174"/>
      <c r="K80" s="175" t="s">
        <v>64</v>
      </c>
      <c r="L80" s="60"/>
      <c r="M80" s="61"/>
    </row>
    <row r="81" spans="2:13" ht="19.5" customHeight="1" x14ac:dyDescent="0.35">
      <c r="B81" s="62">
        <f t="shared" ref="B81:B83" si="7">B80+1</f>
        <v>127</v>
      </c>
      <c r="C81" s="63">
        <v>3</v>
      </c>
      <c r="D81" s="147" t="s">
        <v>72</v>
      </c>
      <c r="E81" s="285"/>
      <c r="F81" s="55">
        <v>0</v>
      </c>
      <c r="G81" s="181">
        <v>0</v>
      </c>
      <c r="H81" s="71">
        <v>0</v>
      </c>
      <c r="I81" s="217"/>
      <c r="J81" s="221"/>
      <c r="K81" s="218" t="s">
        <v>73</v>
      </c>
      <c r="L81" s="60"/>
      <c r="M81" s="61"/>
    </row>
    <row r="82" spans="2:13" ht="19.5" customHeight="1" x14ac:dyDescent="0.35">
      <c r="B82" s="96">
        <f t="shared" si="7"/>
        <v>128</v>
      </c>
      <c r="C82" s="85">
        <v>4</v>
      </c>
      <c r="D82" s="253" t="s">
        <v>74</v>
      </c>
      <c r="E82" s="277">
        <v>1</v>
      </c>
      <c r="F82" s="78" t="e">
        <f>M82*L20/M84</f>
        <v>#REF!</v>
      </c>
      <c r="G82" s="56" t="e">
        <f>L82</f>
        <v>#REF!</v>
      </c>
      <c r="H82" s="165">
        <v>0</v>
      </c>
      <c r="I82" s="254">
        <f>I79</f>
        <v>42.92</v>
      </c>
      <c r="J82" s="222">
        <v>0</v>
      </c>
      <c r="K82" s="255" t="s">
        <v>27</v>
      </c>
      <c r="L82" s="60" t="e">
        <f>F82*L$20/E$95</f>
        <v>#REF!</v>
      </c>
      <c r="M82" s="61">
        <v>1.5</v>
      </c>
    </row>
    <row r="83" spans="2:13" ht="16" thickBot="1" x14ac:dyDescent="0.4">
      <c r="B83" s="126">
        <f t="shared" si="7"/>
        <v>129</v>
      </c>
      <c r="C83" s="130">
        <v>5</v>
      </c>
      <c r="D83" s="219" t="s">
        <v>75</v>
      </c>
      <c r="E83" s="149">
        <v>1</v>
      </c>
      <c r="F83" s="78" t="e">
        <f>M83*L20/M84</f>
        <v>#REF!</v>
      </c>
      <c r="G83" s="56" t="e">
        <f t="shared" si="5"/>
        <v>#REF!</v>
      </c>
      <c r="H83" s="150">
        <v>0</v>
      </c>
      <c r="I83" s="87"/>
      <c r="J83" s="222"/>
      <c r="K83" s="156" t="s">
        <v>76</v>
      </c>
      <c r="L83" s="60" t="e">
        <f>F83*L$20/E$95</f>
        <v>#REF!</v>
      </c>
      <c r="M83" s="61">
        <v>0.5</v>
      </c>
    </row>
    <row r="84" spans="2:13" ht="19" thickBot="1" x14ac:dyDescent="0.4">
      <c r="B84" s="288" t="s">
        <v>17</v>
      </c>
      <c r="C84" s="289"/>
      <c r="D84" s="290"/>
      <c r="E84" s="39">
        <f>SUM(E26:E59)+SUM(E66:E71)+SUM(E73:E77)+SUM(E79:E83)</f>
        <v>684.07</v>
      </c>
      <c r="F84" s="40" t="e">
        <f>SUM(F26:F51)+SUM(F55:F58)+SUM(F66:F71)+SUM(F73:F77)+SUM(F79:F83)</f>
        <v>#REF!</v>
      </c>
      <c r="G84" s="40" t="e">
        <f>SUM(G25,G65,G72,G78)</f>
        <v>#REF!</v>
      </c>
      <c r="H84" s="39">
        <f>H25+H65+H72+H78</f>
        <v>270.06897295999994</v>
      </c>
      <c r="I84" s="291"/>
      <c r="J84" s="292"/>
      <c r="K84" s="187">
        <f>H11-G11</f>
        <v>-78.651027040000088</v>
      </c>
      <c r="L84" s="60"/>
      <c r="M84" s="131">
        <f>SUM(M26:M83)</f>
        <v>778.30000000000007</v>
      </c>
    </row>
    <row r="85" spans="2:13" ht="19" thickBot="1" x14ac:dyDescent="0.5">
      <c r="B85" s="1"/>
      <c r="C85" s="1"/>
      <c r="D85" s="41"/>
      <c r="E85" s="178"/>
      <c r="F85" s="42"/>
      <c r="G85" s="42"/>
      <c r="H85" s="169"/>
      <c r="I85" s="43"/>
      <c r="J85" s="43"/>
      <c r="K85" s="1"/>
      <c r="L85" s="60"/>
    </row>
    <row r="86" spans="2:13" ht="23.25" customHeight="1" thickBot="1" x14ac:dyDescent="0.4">
      <c r="B86" s="278" t="s">
        <v>18</v>
      </c>
      <c r="C86" s="279"/>
      <c r="D86" s="280"/>
      <c r="E86" s="193">
        <f>SUM(E87:E91)</f>
        <v>312</v>
      </c>
      <c r="F86" s="193">
        <f>SUM(F87:F91)</f>
        <v>103.51373756000001</v>
      </c>
      <c r="G86" s="193">
        <f t="shared" ref="G86:H86" si="8">SUM(G87:G91)</f>
        <v>73.51373756000001</v>
      </c>
      <c r="H86" s="193">
        <f t="shared" si="8"/>
        <v>55.814243320000003</v>
      </c>
      <c r="I86" s="194"/>
      <c r="J86" s="195"/>
      <c r="K86" s="196" t="s">
        <v>77</v>
      </c>
      <c r="L86" s="60"/>
    </row>
    <row r="87" spans="2:13" ht="15.5" x14ac:dyDescent="0.35">
      <c r="B87" s="51">
        <v>130</v>
      </c>
      <c r="C87" s="200">
        <v>1</v>
      </c>
      <c r="D87" s="201" t="s">
        <v>78</v>
      </c>
      <c r="E87" s="157">
        <v>5</v>
      </c>
      <c r="F87" s="158">
        <v>4.4107375600000003</v>
      </c>
      <c r="G87" s="158">
        <v>4.4107375600000003</v>
      </c>
      <c r="H87" s="135">
        <v>11.087</v>
      </c>
      <c r="I87" s="153">
        <v>45.2</v>
      </c>
      <c r="J87" s="153">
        <f>I87</f>
        <v>45.2</v>
      </c>
      <c r="K87" s="202" t="s">
        <v>55</v>
      </c>
      <c r="L87" s="60"/>
    </row>
    <row r="88" spans="2:13" ht="15.5" x14ac:dyDescent="0.35">
      <c r="B88" s="62">
        <f>B87+1</f>
        <v>131</v>
      </c>
      <c r="C88" s="197">
        <v>2</v>
      </c>
      <c r="D88" s="198" t="s">
        <v>79</v>
      </c>
      <c r="E88" s="160">
        <v>100</v>
      </c>
      <c r="F88" s="161">
        <v>57.103000000000002</v>
      </c>
      <c r="G88" s="161">
        <v>57.103000000000002</v>
      </c>
      <c r="H88" s="71">
        <v>32.727243319999999</v>
      </c>
      <c r="I88" s="66"/>
      <c r="J88" s="66"/>
      <c r="K88" s="203" t="s">
        <v>55</v>
      </c>
      <c r="L88" s="60"/>
    </row>
    <row r="89" spans="2:13" ht="15.5" x14ac:dyDescent="0.35">
      <c r="B89" s="62">
        <f t="shared" ref="B89:B91" si="9">B88+1</f>
        <v>132</v>
      </c>
      <c r="C89" s="197">
        <v>3</v>
      </c>
      <c r="D89" s="199" t="s">
        <v>80</v>
      </c>
      <c r="E89" s="70">
        <v>27</v>
      </c>
      <c r="F89" s="70">
        <v>12</v>
      </c>
      <c r="G89" s="70">
        <v>12</v>
      </c>
      <c r="H89" s="71">
        <v>12</v>
      </c>
      <c r="I89" s="66" t="e">
        <f>#REF!</f>
        <v>#REF!</v>
      </c>
      <c r="J89" s="66" t="e">
        <f>#REF!</f>
        <v>#REF!</v>
      </c>
      <c r="K89" s="204" t="s">
        <v>55</v>
      </c>
      <c r="L89" s="60"/>
    </row>
    <row r="90" spans="2:13" ht="15.5" x14ac:dyDescent="0.35">
      <c r="B90" s="62">
        <f t="shared" si="9"/>
        <v>133</v>
      </c>
      <c r="C90" s="197">
        <v>4</v>
      </c>
      <c r="D90" s="199" t="s">
        <v>81</v>
      </c>
      <c r="E90" s="70">
        <v>60</v>
      </c>
      <c r="F90" s="70">
        <v>30</v>
      </c>
      <c r="G90" s="70">
        <v>0</v>
      </c>
      <c r="H90" s="71">
        <v>0</v>
      </c>
      <c r="I90" s="66">
        <f>I69</f>
        <v>24</v>
      </c>
      <c r="J90" s="66">
        <f>J69</f>
        <v>20.399999999999999</v>
      </c>
      <c r="K90" s="204" t="s">
        <v>55</v>
      </c>
      <c r="L90" s="60"/>
    </row>
    <row r="91" spans="2:13" ht="16" thickBot="1" x14ac:dyDescent="0.4">
      <c r="B91" s="62">
        <f t="shared" si="9"/>
        <v>134</v>
      </c>
      <c r="C91" s="205">
        <v>5</v>
      </c>
      <c r="D91" s="206" t="s">
        <v>82</v>
      </c>
      <c r="E91" s="142">
        <v>120</v>
      </c>
      <c r="F91" s="142">
        <v>0</v>
      </c>
      <c r="G91" s="142">
        <f>F91</f>
        <v>0</v>
      </c>
      <c r="H91" s="150">
        <v>0</v>
      </c>
      <c r="I91" s="143">
        <f>I66</f>
        <v>23</v>
      </c>
      <c r="J91" s="143">
        <f>J66</f>
        <v>20</v>
      </c>
      <c r="K91" s="207" t="s">
        <v>55</v>
      </c>
      <c r="L91" s="60"/>
    </row>
    <row r="92" spans="2:13" ht="15" thickBot="1" x14ac:dyDescent="0.4">
      <c r="B92" s="1"/>
      <c r="C92" s="1"/>
      <c r="D92" s="43"/>
      <c r="E92" s="178"/>
      <c r="F92" s="46"/>
      <c r="G92" s="46"/>
      <c r="I92" s="1"/>
      <c r="J92" s="1"/>
      <c r="K92" s="47"/>
      <c r="L92" s="7"/>
    </row>
    <row r="93" spans="2:13" ht="21.5" thickBot="1" x14ac:dyDescent="0.4">
      <c r="B93" s="281" t="s">
        <v>19</v>
      </c>
      <c r="C93" s="282"/>
      <c r="D93" s="282"/>
      <c r="E93" s="48"/>
      <c r="F93" s="49"/>
      <c r="G93" s="49"/>
      <c r="H93" s="50">
        <f>H88+H28</f>
        <v>42.727243319999999</v>
      </c>
      <c r="I93" s="1"/>
      <c r="J93" s="1"/>
      <c r="K93" s="1"/>
      <c r="L93" s="7"/>
    </row>
    <row r="94" spans="2:13" x14ac:dyDescent="0.35">
      <c r="L94" s="7"/>
    </row>
    <row r="95" spans="2:13" ht="15" hidden="1" customHeight="1" x14ac:dyDescent="0.35">
      <c r="D95" t="s">
        <v>83</v>
      </c>
      <c r="E95" s="166">
        <f>G20-G28-G66-G69</f>
        <v>277</v>
      </c>
      <c r="G95" s="167" t="e">
        <f>F84-(F79+F76+F28+F66+F69+#REF!)</f>
        <v>#REF!</v>
      </c>
      <c r="L95" s="7"/>
    </row>
  </sheetData>
  <mergeCells count="32">
    <mergeCell ref="B17:D17"/>
    <mergeCell ref="D3:K3"/>
    <mergeCell ref="D4:K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B11:D11"/>
    <mergeCell ref="I11:J11"/>
    <mergeCell ref="H12:J12"/>
    <mergeCell ref="B14:D14"/>
    <mergeCell ref="D21:K21"/>
    <mergeCell ref="D22:K22"/>
    <mergeCell ref="B23:B24"/>
    <mergeCell ref="C23:C24"/>
    <mergeCell ref="D23:D24"/>
    <mergeCell ref="E23:E24"/>
    <mergeCell ref="F23:F24"/>
    <mergeCell ref="G23:G24"/>
    <mergeCell ref="H23:H24"/>
    <mergeCell ref="I23:J23"/>
    <mergeCell ref="B86:D86"/>
    <mergeCell ref="B93:D93"/>
    <mergeCell ref="K23:K24"/>
    <mergeCell ref="E79:E81"/>
    <mergeCell ref="B84:D84"/>
    <mergeCell ref="I84:J8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9bfec4a-5ccc-4996-bf58-9401877a9892}" enabled="0" method="" siteId="{c9bfec4a-5ccc-4996-bf58-9401877a98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Nov 1</vt:lpstr>
      <vt:lpstr>Nov 2</vt:lpstr>
      <vt:lpstr>Nov 3</vt:lpstr>
      <vt:lpstr>Nov 4</vt:lpstr>
      <vt:lpstr>Nov 5</vt:lpstr>
      <vt:lpstr>Nov 6</vt:lpstr>
      <vt:lpstr>Nov 7</vt:lpstr>
      <vt:lpstr>Nov 8</vt:lpstr>
      <vt:lpstr>Nov 9</vt:lpstr>
      <vt:lpstr>Nov 10</vt:lpstr>
      <vt:lpstr>Nov 11</vt:lpstr>
      <vt:lpstr>Nov 12</vt:lpstr>
      <vt:lpstr>Nov 13</vt:lpstr>
      <vt:lpstr>Nov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Ndubuisi S. Ottah</dc:creator>
  <cp:keywords/>
  <dc:description/>
  <cp:lastModifiedBy>Ghazali I. Ahmad</cp:lastModifiedBy>
  <cp:revision/>
  <dcterms:created xsi:type="dcterms:W3CDTF">2021-08-04T13:54:05Z</dcterms:created>
  <dcterms:modified xsi:type="dcterms:W3CDTF">2026-07-20T14:56:22Z</dcterms:modified>
  <cp:category/>
  <cp:contentStatus/>
</cp:coreProperties>
</file>