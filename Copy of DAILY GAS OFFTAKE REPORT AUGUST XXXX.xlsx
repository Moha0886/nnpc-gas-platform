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npcgroup-my.sharepoint.com/personal/ghazali_ahmad_nnpcgroup_com/Documents/Documents/Midstream Dummy Data/"/>
    </mc:Choice>
  </mc:AlternateContent>
  <xr:revisionPtr revIDLastSave="2" documentId="8_{63FB3C3D-ED69-470E-9168-C5F2C373CD04}" xr6:coauthVersionLast="47" xr6:coauthVersionMax="47" xr10:uidLastSave="{6C1DDD91-C266-4C66-8820-DAEC1CBFE82C}"/>
  <bookViews>
    <workbookView xWindow="47895" yWindow="0" windowWidth="19410" windowHeight="20985" tabRatio="658" firstSheet="1" xr2:uid="{00000000-000D-0000-FFFF-FFFF00000000}"/>
  </bookViews>
  <sheets>
    <sheet name="DAY 01" sheetId="846" r:id="rId1"/>
    <sheet name="DAY 02" sheetId="847" r:id="rId2"/>
    <sheet name="DAY 03" sheetId="848" r:id="rId3"/>
    <sheet name="DAY 04" sheetId="849" r:id="rId4"/>
    <sheet name="DAY 05" sheetId="850" r:id="rId5"/>
    <sheet name="DAY 06" sheetId="851" r:id="rId6"/>
    <sheet name="DAY 07" sheetId="852" r:id="rId7"/>
    <sheet name="DAY 08" sheetId="853" r:id="rId8"/>
    <sheet name="DAY 09" sheetId="854" r:id="rId9"/>
    <sheet name="DAY 10" sheetId="855" r:id="rId10"/>
    <sheet name="DAY 11" sheetId="856" r:id="rId11"/>
    <sheet name="DAY 12" sheetId="857" r:id="rId12"/>
    <sheet name="DAY 13" sheetId="858" r:id="rId13"/>
    <sheet name="DAY 14" sheetId="859" r:id="rId14"/>
    <sheet name="DAY 15" sheetId="860" r:id="rId15"/>
    <sheet name="DAY 16" sheetId="861" r:id="rId16"/>
    <sheet name="DAY 17" sheetId="862" r:id="rId17"/>
    <sheet name="DAY 18" sheetId="863" r:id="rId18"/>
    <sheet name="DAY 19" sheetId="864" r:id="rId19"/>
    <sheet name="DAY 20" sheetId="865" r:id="rId20"/>
    <sheet name="DAY 21" sheetId="866" r:id="rId21"/>
    <sheet name="DAY 22" sheetId="867" r:id="rId22"/>
    <sheet name="GVMetadata" sheetId="495" state="veryHidden" r:id="rId23"/>
  </sheets>
  <definedNames>
    <definedName name="_xlnm.Print_Titles" localSheetId="0">'DAY 01'!$1:$5</definedName>
    <definedName name="_xlnm.Print_Titles" localSheetId="1">'DAY 02'!$1:$5</definedName>
    <definedName name="_xlnm.Print_Titles" localSheetId="2">'DAY 03'!$1:$5</definedName>
    <definedName name="_xlnm.Print_Titles" localSheetId="3">'DAY 04'!$1:$5</definedName>
    <definedName name="_xlnm.Print_Titles" localSheetId="4">'DAY 05'!$1:$5</definedName>
    <definedName name="_xlnm.Print_Titles" localSheetId="5">'DAY 06'!$1:$5</definedName>
    <definedName name="_xlnm.Print_Titles" localSheetId="6">'DAY 07'!$1:$5</definedName>
    <definedName name="_xlnm.Print_Titles" localSheetId="7">'DAY 08'!$1:$5</definedName>
    <definedName name="_xlnm.Print_Titles" localSheetId="8">'DAY 09'!$1:$5</definedName>
    <definedName name="_xlnm.Print_Titles" localSheetId="9">'DAY 10'!$1:$5</definedName>
    <definedName name="_xlnm.Print_Titles" localSheetId="10">'DAY 11'!$1:$5</definedName>
    <definedName name="_xlnm.Print_Titles" localSheetId="11">'DAY 12'!$1:$5</definedName>
    <definedName name="_xlnm.Print_Titles" localSheetId="12">'DAY 13'!$1:$5</definedName>
    <definedName name="_xlnm.Print_Titles" localSheetId="13">'DAY 14'!$1:$5</definedName>
    <definedName name="_xlnm.Print_Titles" localSheetId="14">'DAY 15'!$1:$5</definedName>
    <definedName name="_xlnm.Print_Titles" localSheetId="15">'DAY 16'!$1:$5</definedName>
    <definedName name="_xlnm.Print_Titles" localSheetId="16">'DAY 17'!$1:$5</definedName>
    <definedName name="_xlnm.Print_Titles" localSheetId="17">'DAY 18'!$1:$5</definedName>
    <definedName name="_xlnm.Print_Titles" localSheetId="18">'DAY 19'!$1:$5</definedName>
    <definedName name="_xlnm.Print_Titles" localSheetId="19">'DAY 20'!$1:$5</definedName>
    <definedName name="_xlnm.Print_Titles" localSheetId="20">'DAY 21'!$1:$5</definedName>
    <definedName name="_xlnm.Print_Titles" localSheetId="21">'DAY 22'!$1:$5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6" i="867" l="1"/>
  <c r="I45" i="867"/>
  <c r="I44" i="867"/>
  <c r="I43" i="867"/>
  <c r="I42" i="867"/>
  <c r="G41" i="867"/>
  <c r="I40" i="867"/>
  <c r="I39" i="867"/>
  <c r="I38" i="867"/>
  <c r="I37" i="867"/>
  <c r="G36" i="867"/>
  <c r="I35" i="867"/>
  <c r="I34" i="867"/>
  <c r="G33" i="867"/>
  <c r="I32" i="867"/>
  <c r="G30" i="867"/>
  <c r="J29" i="867"/>
  <c r="I29" i="867"/>
  <c r="G28" i="867"/>
  <c r="I27" i="867"/>
  <c r="I26" i="867"/>
  <c r="I25" i="867"/>
  <c r="I24" i="867"/>
  <c r="G23" i="867"/>
  <c r="I22" i="867"/>
  <c r="G21" i="867"/>
  <c r="I20" i="867"/>
  <c r="I19" i="867"/>
  <c r="I18" i="867"/>
  <c r="I17" i="867"/>
  <c r="I16" i="867"/>
  <c r="I15" i="867"/>
  <c r="J14" i="867"/>
  <c r="G14" i="867"/>
  <c r="I13" i="867"/>
  <c r="I12" i="867"/>
  <c r="I11" i="867"/>
  <c r="I10" i="867"/>
  <c r="I9" i="867"/>
  <c r="I8" i="867"/>
  <c r="J7" i="867"/>
  <c r="G7" i="867"/>
  <c r="I6" i="867"/>
  <c r="G46" i="866"/>
  <c r="I45" i="866"/>
  <c r="I44" i="866"/>
  <c r="I43" i="866"/>
  <c r="I42" i="866"/>
  <c r="G41" i="866"/>
  <c r="I40" i="866"/>
  <c r="I39" i="866"/>
  <c r="I38" i="866"/>
  <c r="I37" i="866"/>
  <c r="G36" i="866"/>
  <c r="I35" i="866"/>
  <c r="I34" i="866"/>
  <c r="G33" i="866"/>
  <c r="I32" i="866"/>
  <c r="G30" i="866"/>
  <c r="J29" i="866"/>
  <c r="I29" i="866"/>
  <c r="G28" i="866"/>
  <c r="I27" i="866"/>
  <c r="I26" i="866"/>
  <c r="I25" i="866"/>
  <c r="I24" i="866"/>
  <c r="G23" i="866"/>
  <c r="I22" i="866"/>
  <c r="G21" i="866"/>
  <c r="I20" i="866"/>
  <c r="I19" i="866"/>
  <c r="I18" i="866"/>
  <c r="I17" i="866"/>
  <c r="I16" i="866"/>
  <c r="I15" i="866"/>
  <c r="J14" i="866"/>
  <c r="G14" i="866"/>
  <c r="I13" i="866"/>
  <c r="I12" i="866"/>
  <c r="I11" i="866"/>
  <c r="I10" i="866"/>
  <c r="I9" i="866"/>
  <c r="I8" i="866"/>
  <c r="J7" i="866"/>
  <c r="G7" i="866"/>
  <c r="I6" i="866"/>
  <c r="J48" i="867" l="1"/>
  <c r="G47" i="867"/>
  <c r="G31" i="867"/>
  <c r="J48" i="866"/>
  <c r="G31" i="866"/>
  <c r="G47" i="866"/>
  <c r="G48" i="867" l="1"/>
  <c r="G48" i="866"/>
  <c r="G46" i="865" l="1"/>
  <c r="I45" i="865"/>
  <c r="I44" i="865"/>
  <c r="I43" i="865"/>
  <c r="I42" i="865"/>
  <c r="G41" i="865"/>
  <c r="I40" i="865"/>
  <c r="I39" i="865"/>
  <c r="I38" i="865"/>
  <c r="I37" i="865"/>
  <c r="G36" i="865"/>
  <c r="I35" i="865"/>
  <c r="I34" i="865"/>
  <c r="G33" i="865"/>
  <c r="I32" i="865"/>
  <c r="G30" i="865"/>
  <c r="J29" i="865"/>
  <c r="I29" i="865"/>
  <c r="G28" i="865"/>
  <c r="I27" i="865"/>
  <c r="I26" i="865"/>
  <c r="I25" i="865"/>
  <c r="I24" i="865"/>
  <c r="G23" i="865"/>
  <c r="I22" i="865"/>
  <c r="G21" i="865"/>
  <c r="I20" i="865"/>
  <c r="I19" i="865"/>
  <c r="I18" i="865"/>
  <c r="I17" i="865"/>
  <c r="I16" i="865"/>
  <c r="I15" i="865"/>
  <c r="J14" i="865"/>
  <c r="G14" i="865"/>
  <c r="I13" i="865"/>
  <c r="I12" i="865"/>
  <c r="I11" i="865"/>
  <c r="I10" i="865"/>
  <c r="I9" i="865"/>
  <c r="I8" i="865"/>
  <c r="J7" i="865"/>
  <c r="G7" i="865"/>
  <c r="I6" i="865"/>
  <c r="J48" i="865" l="1"/>
  <c r="G47" i="865"/>
  <c r="G31" i="865"/>
  <c r="G48" i="865" l="1"/>
  <c r="G28" i="864" l="1"/>
  <c r="G46" i="864"/>
  <c r="I45" i="864"/>
  <c r="I44" i="864"/>
  <c r="I43" i="864"/>
  <c r="I42" i="864"/>
  <c r="G41" i="864"/>
  <c r="I40" i="864"/>
  <c r="I39" i="864"/>
  <c r="I38" i="864"/>
  <c r="I37" i="864"/>
  <c r="G36" i="864"/>
  <c r="I35" i="864"/>
  <c r="I34" i="864"/>
  <c r="G33" i="864"/>
  <c r="I32" i="864"/>
  <c r="G30" i="864"/>
  <c r="J29" i="864"/>
  <c r="I29" i="864"/>
  <c r="I27" i="864"/>
  <c r="I26" i="864"/>
  <c r="I25" i="864"/>
  <c r="I24" i="864"/>
  <c r="G23" i="864"/>
  <c r="I22" i="864"/>
  <c r="G21" i="864"/>
  <c r="I20" i="864"/>
  <c r="I19" i="864"/>
  <c r="I18" i="864"/>
  <c r="I17" i="864"/>
  <c r="I16" i="864"/>
  <c r="I15" i="864"/>
  <c r="J14" i="864"/>
  <c r="G14" i="864"/>
  <c r="I13" i="864"/>
  <c r="I12" i="864"/>
  <c r="I11" i="864"/>
  <c r="I10" i="864"/>
  <c r="I9" i="864"/>
  <c r="I8" i="864"/>
  <c r="J7" i="864"/>
  <c r="G7" i="864"/>
  <c r="I6" i="864"/>
  <c r="G47" i="864" l="1"/>
  <c r="G31" i="864"/>
  <c r="J48" i="864"/>
  <c r="G48" i="864" l="1"/>
  <c r="G46" i="863" l="1"/>
  <c r="I45" i="863"/>
  <c r="I44" i="863"/>
  <c r="I43" i="863"/>
  <c r="I42" i="863"/>
  <c r="G41" i="863"/>
  <c r="I40" i="863"/>
  <c r="I39" i="863"/>
  <c r="I38" i="863"/>
  <c r="I37" i="863"/>
  <c r="G36" i="863"/>
  <c r="I35" i="863"/>
  <c r="I34" i="863"/>
  <c r="G33" i="863"/>
  <c r="I32" i="863"/>
  <c r="G30" i="863"/>
  <c r="J29" i="863"/>
  <c r="I29" i="863"/>
  <c r="G28" i="863"/>
  <c r="I27" i="863"/>
  <c r="I26" i="863"/>
  <c r="I25" i="863"/>
  <c r="I24" i="863"/>
  <c r="G23" i="863"/>
  <c r="I22" i="863"/>
  <c r="G21" i="863"/>
  <c r="I20" i="863"/>
  <c r="I19" i="863"/>
  <c r="I18" i="863"/>
  <c r="I17" i="863"/>
  <c r="I16" i="863"/>
  <c r="I15" i="863"/>
  <c r="J14" i="863"/>
  <c r="G14" i="863"/>
  <c r="I13" i="863"/>
  <c r="I12" i="863"/>
  <c r="I11" i="863"/>
  <c r="I10" i="863"/>
  <c r="I9" i="863"/>
  <c r="I8" i="863"/>
  <c r="J7" i="863"/>
  <c r="G7" i="863"/>
  <c r="I6" i="863"/>
  <c r="J48" i="863" l="1"/>
  <c r="G31" i="863"/>
  <c r="G47" i="863"/>
  <c r="G48" i="863" l="1"/>
  <c r="G46" i="862" l="1"/>
  <c r="I45" i="862"/>
  <c r="I44" i="862"/>
  <c r="I43" i="862"/>
  <c r="I42" i="862"/>
  <c r="G41" i="862"/>
  <c r="I40" i="862"/>
  <c r="I39" i="862"/>
  <c r="I38" i="862"/>
  <c r="I37" i="862"/>
  <c r="G36" i="862"/>
  <c r="I35" i="862"/>
  <c r="I34" i="862"/>
  <c r="G33" i="862"/>
  <c r="I32" i="862"/>
  <c r="G30" i="862"/>
  <c r="J29" i="862"/>
  <c r="I29" i="862"/>
  <c r="G28" i="862"/>
  <c r="I27" i="862"/>
  <c r="I26" i="862"/>
  <c r="I25" i="862"/>
  <c r="I24" i="862"/>
  <c r="G23" i="862"/>
  <c r="I22" i="862"/>
  <c r="G21" i="862"/>
  <c r="I20" i="862"/>
  <c r="I19" i="862"/>
  <c r="I18" i="862"/>
  <c r="I17" i="862"/>
  <c r="I16" i="862"/>
  <c r="I15" i="862"/>
  <c r="J14" i="862"/>
  <c r="G14" i="862"/>
  <c r="I13" i="862"/>
  <c r="I12" i="862"/>
  <c r="I11" i="862"/>
  <c r="I10" i="862"/>
  <c r="I9" i="862"/>
  <c r="I8" i="862"/>
  <c r="J7" i="862"/>
  <c r="G7" i="862"/>
  <c r="I6" i="862"/>
  <c r="G46" i="861"/>
  <c r="I45" i="861"/>
  <c r="I44" i="861"/>
  <c r="I43" i="861"/>
  <c r="I42" i="861"/>
  <c r="G41" i="861"/>
  <c r="I40" i="861"/>
  <c r="I39" i="861"/>
  <c r="I38" i="861"/>
  <c r="I37" i="861"/>
  <c r="G36" i="861"/>
  <c r="I35" i="861"/>
  <c r="I34" i="861"/>
  <c r="G33" i="861"/>
  <c r="I32" i="861"/>
  <c r="G30" i="861"/>
  <c r="J29" i="861"/>
  <c r="I29" i="861"/>
  <c r="G28" i="861"/>
  <c r="I27" i="861"/>
  <c r="I26" i="861"/>
  <c r="I25" i="861"/>
  <c r="I24" i="861"/>
  <c r="G23" i="861"/>
  <c r="I22" i="861"/>
  <c r="G21" i="861"/>
  <c r="I20" i="861"/>
  <c r="I19" i="861"/>
  <c r="I18" i="861"/>
  <c r="I17" i="861"/>
  <c r="I16" i="861"/>
  <c r="I15" i="861"/>
  <c r="J14" i="861"/>
  <c r="G14" i="861"/>
  <c r="I13" i="861"/>
  <c r="I12" i="861"/>
  <c r="I11" i="861"/>
  <c r="I10" i="861"/>
  <c r="I9" i="861"/>
  <c r="I8" i="861"/>
  <c r="J7" i="861"/>
  <c r="G7" i="861"/>
  <c r="I6" i="861"/>
  <c r="J48" i="862" l="1"/>
  <c r="G31" i="862"/>
  <c r="G47" i="862"/>
  <c r="J48" i="861"/>
  <c r="G31" i="861"/>
  <c r="G47" i="861"/>
  <c r="G48" i="862" l="1"/>
  <c r="G48" i="861"/>
  <c r="G46" i="860" l="1"/>
  <c r="I45" i="860"/>
  <c r="I44" i="860"/>
  <c r="I43" i="860"/>
  <c r="I42" i="860"/>
  <c r="G41" i="860"/>
  <c r="I40" i="860"/>
  <c r="I39" i="860"/>
  <c r="I38" i="860"/>
  <c r="I37" i="860"/>
  <c r="G36" i="860"/>
  <c r="I35" i="860"/>
  <c r="I34" i="860"/>
  <c r="G33" i="860"/>
  <c r="I32" i="860"/>
  <c r="G30" i="860"/>
  <c r="J29" i="860"/>
  <c r="I29" i="860"/>
  <c r="G28" i="860"/>
  <c r="I27" i="860"/>
  <c r="I26" i="860"/>
  <c r="I25" i="860"/>
  <c r="I24" i="860"/>
  <c r="G23" i="860"/>
  <c r="I22" i="860"/>
  <c r="G21" i="860"/>
  <c r="I20" i="860"/>
  <c r="I19" i="860"/>
  <c r="I18" i="860"/>
  <c r="I17" i="860"/>
  <c r="I16" i="860"/>
  <c r="I15" i="860"/>
  <c r="J14" i="860"/>
  <c r="G14" i="860"/>
  <c r="I13" i="860"/>
  <c r="I12" i="860"/>
  <c r="I11" i="860"/>
  <c r="I10" i="860"/>
  <c r="I9" i="860"/>
  <c r="I8" i="860"/>
  <c r="J7" i="860"/>
  <c r="G7" i="860"/>
  <c r="I6" i="860"/>
  <c r="J48" i="860" l="1"/>
  <c r="G31" i="860"/>
  <c r="G47" i="860"/>
  <c r="G46" i="859"/>
  <c r="I45" i="859"/>
  <c r="I44" i="859"/>
  <c r="I43" i="859"/>
  <c r="I42" i="859"/>
  <c r="G41" i="859"/>
  <c r="I40" i="859"/>
  <c r="I39" i="859"/>
  <c r="I38" i="859"/>
  <c r="I37" i="859"/>
  <c r="G36" i="859"/>
  <c r="I35" i="859"/>
  <c r="I34" i="859"/>
  <c r="G33" i="859"/>
  <c r="I32" i="859"/>
  <c r="G30" i="859"/>
  <c r="J29" i="859"/>
  <c r="I29" i="859"/>
  <c r="G28" i="859"/>
  <c r="I27" i="859"/>
  <c r="I26" i="859"/>
  <c r="I25" i="859"/>
  <c r="I24" i="859"/>
  <c r="G23" i="859"/>
  <c r="I22" i="859"/>
  <c r="G21" i="859"/>
  <c r="I20" i="859"/>
  <c r="I19" i="859"/>
  <c r="I18" i="859"/>
  <c r="I17" i="859"/>
  <c r="I16" i="859"/>
  <c r="I15" i="859"/>
  <c r="J14" i="859"/>
  <c r="G14" i="859"/>
  <c r="I13" i="859"/>
  <c r="I12" i="859"/>
  <c r="I11" i="859"/>
  <c r="I10" i="859"/>
  <c r="I9" i="859"/>
  <c r="I8" i="859"/>
  <c r="J7" i="859"/>
  <c r="G7" i="859"/>
  <c r="I6" i="859"/>
  <c r="G46" i="858"/>
  <c r="I45" i="858"/>
  <c r="I44" i="858"/>
  <c r="I43" i="858"/>
  <c r="I42" i="858"/>
  <c r="G41" i="858"/>
  <c r="I40" i="858"/>
  <c r="I39" i="858"/>
  <c r="I38" i="858"/>
  <c r="I37" i="858"/>
  <c r="G36" i="858"/>
  <c r="I35" i="858"/>
  <c r="I34" i="858"/>
  <c r="G33" i="858"/>
  <c r="I32" i="858"/>
  <c r="G30" i="858"/>
  <c r="J29" i="858"/>
  <c r="I29" i="858"/>
  <c r="G28" i="858"/>
  <c r="I27" i="858"/>
  <c r="I26" i="858"/>
  <c r="I25" i="858"/>
  <c r="I24" i="858"/>
  <c r="G23" i="858"/>
  <c r="I22" i="858"/>
  <c r="G21" i="858"/>
  <c r="I20" i="858"/>
  <c r="I19" i="858"/>
  <c r="I18" i="858"/>
  <c r="I17" i="858"/>
  <c r="I16" i="858"/>
  <c r="I15" i="858"/>
  <c r="J14" i="858"/>
  <c r="G14" i="858"/>
  <c r="I13" i="858"/>
  <c r="I12" i="858"/>
  <c r="I11" i="858"/>
  <c r="I10" i="858"/>
  <c r="I9" i="858"/>
  <c r="I8" i="858"/>
  <c r="J7" i="858"/>
  <c r="G7" i="858"/>
  <c r="I6" i="858"/>
  <c r="J48" i="858" l="1"/>
  <c r="G48" i="860"/>
  <c r="J48" i="859"/>
  <c r="G47" i="859"/>
  <c r="G31" i="859"/>
  <c r="G31" i="858"/>
  <c r="G47" i="858"/>
  <c r="G48" i="859" l="1"/>
  <c r="G48" i="858"/>
  <c r="G46" i="857" l="1"/>
  <c r="I45" i="857"/>
  <c r="I44" i="857"/>
  <c r="I43" i="857"/>
  <c r="I42" i="857"/>
  <c r="G41" i="857"/>
  <c r="I40" i="857"/>
  <c r="I39" i="857"/>
  <c r="I38" i="857"/>
  <c r="I37" i="857"/>
  <c r="G36" i="857"/>
  <c r="I35" i="857"/>
  <c r="I34" i="857"/>
  <c r="G33" i="857"/>
  <c r="I32" i="857"/>
  <c r="G30" i="857"/>
  <c r="J29" i="857"/>
  <c r="I29" i="857"/>
  <c r="G28" i="857"/>
  <c r="I27" i="857"/>
  <c r="I26" i="857"/>
  <c r="I25" i="857"/>
  <c r="I24" i="857"/>
  <c r="G23" i="857"/>
  <c r="I22" i="857"/>
  <c r="G21" i="857"/>
  <c r="I20" i="857"/>
  <c r="I19" i="857"/>
  <c r="I18" i="857"/>
  <c r="I17" i="857"/>
  <c r="I16" i="857"/>
  <c r="I15" i="857"/>
  <c r="J14" i="857"/>
  <c r="G14" i="857"/>
  <c r="I13" i="857"/>
  <c r="I12" i="857"/>
  <c r="I11" i="857"/>
  <c r="I10" i="857"/>
  <c r="I9" i="857"/>
  <c r="I8" i="857"/>
  <c r="J7" i="857"/>
  <c r="G7" i="857"/>
  <c r="I6" i="857"/>
  <c r="J48" i="857" l="1"/>
  <c r="G47" i="857"/>
  <c r="G31" i="857"/>
  <c r="G48" i="857" l="1"/>
  <c r="G46" i="856" l="1"/>
  <c r="I45" i="856"/>
  <c r="I44" i="856"/>
  <c r="I43" i="856"/>
  <c r="I42" i="856"/>
  <c r="G41" i="856"/>
  <c r="I40" i="856"/>
  <c r="I39" i="856"/>
  <c r="I38" i="856"/>
  <c r="I37" i="856"/>
  <c r="G36" i="856"/>
  <c r="I35" i="856"/>
  <c r="I34" i="856"/>
  <c r="G33" i="856"/>
  <c r="I32" i="856"/>
  <c r="G30" i="856"/>
  <c r="J29" i="856"/>
  <c r="I29" i="856"/>
  <c r="G28" i="856"/>
  <c r="I27" i="856"/>
  <c r="I26" i="856"/>
  <c r="I25" i="856"/>
  <c r="I24" i="856"/>
  <c r="G23" i="856"/>
  <c r="I22" i="856"/>
  <c r="G21" i="856"/>
  <c r="I20" i="856"/>
  <c r="I19" i="856"/>
  <c r="I18" i="856"/>
  <c r="I17" i="856"/>
  <c r="I16" i="856"/>
  <c r="I15" i="856"/>
  <c r="J14" i="856"/>
  <c r="G14" i="856"/>
  <c r="I13" i="856"/>
  <c r="I12" i="856"/>
  <c r="I11" i="856"/>
  <c r="I10" i="856"/>
  <c r="I9" i="856"/>
  <c r="I8" i="856"/>
  <c r="J7" i="856"/>
  <c r="G7" i="856"/>
  <c r="I6" i="856"/>
  <c r="G46" i="855"/>
  <c r="I45" i="855"/>
  <c r="I44" i="855"/>
  <c r="I43" i="855"/>
  <c r="I42" i="855"/>
  <c r="G41" i="855"/>
  <c r="I40" i="855"/>
  <c r="I39" i="855"/>
  <c r="I38" i="855"/>
  <c r="I37" i="855"/>
  <c r="G36" i="855"/>
  <c r="I35" i="855"/>
  <c r="I34" i="855"/>
  <c r="G33" i="855"/>
  <c r="I32" i="855"/>
  <c r="G30" i="855"/>
  <c r="J29" i="855"/>
  <c r="I29" i="855"/>
  <c r="G28" i="855"/>
  <c r="I27" i="855"/>
  <c r="I26" i="855"/>
  <c r="I25" i="855"/>
  <c r="I24" i="855"/>
  <c r="G23" i="855"/>
  <c r="I22" i="855"/>
  <c r="G21" i="855"/>
  <c r="I20" i="855"/>
  <c r="I19" i="855"/>
  <c r="I18" i="855"/>
  <c r="I17" i="855"/>
  <c r="I16" i="855"/>
  <c r="I15" i="855"/>
  <c r="J14" i="855"/>
  <c r="G14" i="855"/>
  <c r="I13" i="855"/>
  <c r="I12" i="855"/>
  <c r="I11" i="855"/>
  <c r="I10" i="855"/>
  <c r="I9" i="855"/>
  <c r="I8" i="855"/>
  <c r="J7" i="855"/>
  <c r="G7" i="855"/>
  <c r="I6" i="855"/>
  <c r="J48" i="855" l="1"/>
  <c r="J48" i="856"/>
  <c r="G47" i="856"/>
  <c r="G31" i="856"/>
  <c r="G47" i="855"/>
  <c r="G31" i="855"/>
  <c r="G48" i="856" l="1"/>
  <c r="G48" i="855"/>
  <c r="G46" i="854"/>
  <c r="I45" i="854"/>
  <c r="I44" i="854"/>
  <c r="I43" i="854"/>
  <c r="I42" i="854"/>
  <c r="G41" i="854"/>
  <c r="I40" i="854"/>
  <c r="I39" i="854"/>
  <c r="I38" i="854"/>
  <c r="I37" i="854"/>
  <c r="G36" i="854"/>
  <c r="I35" i="854"/>
  <c r="I34" i="854"/>
  <c r="G33" i="854"/>
  <c r="I32" i="854"/>
  <c r="G30" i="854"/>
  <c r="J29" i="854"/>
  <c r="I29" i="854"/>
  <c r="G28" i="854"/>
  <c r="I27" i="854"/>
  <c r="I26" i="854"/>
  <c r="I25" i="854"/>
  <c r="I24" i="854"/>
  <c r="G23" i="854"/>
  <c r="I22" i="854"/>
  <c r="G21" i="854"/>
  <c r="I20" i="854"/>
  <c r="I19" i="854"/>
  <c r="I18" i="854"/>
  <c r="I17" i="854"/>
  <c r="I16" i="854"/>
  <c r="I15" i="854"/>
  <c r="J14" i="854"/>
  <c r="G14" i="854"/>
  <c r="I13" i="854"/>
  <c r="I12" i="854"/>
  <c r="I11" i="854"/>
  <c r="I10" i="854"/>
  <c r="I9" i="854"/>
  <c r="I8" i="854"/>
  <c r="J7" i="854"/>
  <c r="G7" i="854"/>
  <c r="I6" i="854"/>
  <c r="J48" i="854" l="1"/>
  <c r="G31" i="854"/>
  <c r="G47" i="854"/>
  <c r="G48" i="854" l="1"/>
  <c r="G46" i="853" l="1"/>
  <c r="I45" i="853"/>
  <c r="I44" i="853"/>
  <c r="I43" i="853"/>
  <c r="I42" i="853"/>
  <c r="G41" i="853"/>
  <c r="I40" i="853"/>
  <c r="I39" i="853"/>
  <c r="I38" i="853"/>
  <c r="I37" i="853"/>
  <c r="G36" i="853"/>
  <c r="I35" i="853"/>
  <c r="I34" i="853"/>
  <c r="G33" i="853"/>
  <c r="I32" i="853"/>
  <c r="G30" i="853"/>
  <c r="J29" i="853"/>
  <c r="I29" i="853"/>
  <c r="G28" i="853"/>
  <c r="I27" i="853"/>
  <c r="I26" i="853"/>
  <c r="I25" i="853"/>
  <c r="I24" i="853"/>
  <c r="G23" i="853"/>
  <c r="I22" i="853"/>
  <c r="G21" i="853"/>
  <c r="I20" i="853"/>
  <c r="I19" i="853"/>
  <c r="I18" i="853"/>
  <c r="I17" i="853"/>
  <c r="I16" i="853"/>
  <c r="I15" i="853"/>
  <c r="J14" i="853"/>
  <c r="G14" i="853"/>
  <c r="I13" i="853"/>
  <c r="I12" i="853"/>
  <c r="I11" i="853"/>
  <c r="I10" i="853"/>
  <c r="I9" i="853"/>
  <c r="I8" i="853"/>
  <c r="J7" i="853"/>
  <c r="G7" i="853"/>
  <c r="I6" i="853"/>
  <c r="J48" i="853" l="1"/>
  <c r="G31" i="853"/>
  <c r="G47" i="853"/>
  <c r="G48" i="853" l="1"/>
  <c r="G46" i="852" l="1"/>
  <c r="I45" i="852"/>
  <c r="I44" i="852"/>
  <c r="I43" i="852"/>
  <c r="I42" i="852"/>
  <c r="G41" i="852"/>
  <c r="I40" i="852"/>
  <c r="I39" i="852"/>
  <c r="I38" i="852"/>
  <c r="I37" i="852"/>
  <c r="G36" i="852"/>
  <c r="I35" i="852"/>
  <c r="I34" i="852"/>
  <c r="G33" i="852"/>
  <c r="I32" i="852"/>
  <c r="G30" i="852"/>
  <c r="J29" i="852"/>
  <c r="I29" i="852"/>
  <c r="G28" i="852"/>
  <c r="I27" i="852"/>
  <c r="I26" i="852"/>
  <c r="I25" i="852"/>
  <c r="I24" i="852"/>
  <c r="G23" i="852"/>
  <c r="I22" i="852"/>
  <c r="G21" i="852"/>
  <c r="I20" i="852"/>
  <c r="I19" i="852"/>
  <c r="I18" i="852"/>
  <c r="I17" i="852"/>
  <c r="I16" i="852"/>
  <c r="I15" i="852"/>
  <c r="J14" i="852"/>
  <c r="G14" i="852"/>
  <c r="I13" i="852"/>
  <c r="I12" i="852"/>
  <c r="I11" i="852"/>
  <c r="I10" i="852"/>
  <c r="I9" i="852"/>
  <c r="I8" i="852"/>
  <c r="J7" i="852"/>
  <c r="G7" i="852"/>
  <c r="I6" i="852"/>
  <c r="G47" i="852" l="1"/>
  <c r="G31" i="852"/>
  <c r="J48" i="852"/>
  <c r="G48" i="852" l="1"/>
  <c r="G46" i="851" l="1"/>
  <c r="I45" i="851"/>
  <c r="I44" i="851"/>
  <c r="I43" i="851"/>
  <c r="I42" i="851"/>
  <c r="G41" i="851"/>
  <c r="I40" i="851"/>
  <c r="I39" i="851"/>
  <c r="I38" i="851"/>
  <c r="I37" i="851"/>
  <c r="G36" i="851"/>
  <c r="I35" i="851"/>
  <c r="I34" i="851"/>
  <c r="G33" i="851"/>
  <c r="I32" i="851"/>
  <c r="G30" i="851"/>
  <c r="J29" i="851"/>
  <c r="I29" i="851"/>
  <c r="G28" i="851"/>
  <c r="I27" i="851"/>
  <c r="I26" i="851"/>
  <c r="I25" i="851"/>
  <c r="I24" i="851"/>
  <c r="G23" i="851"/>
  <c r="I22" i="851"/>
  <c r="G21" i="851"/>
  <c r="I20" i="851"/>
  <c r="I19" i="851"/>
  <c r="I18" i="851"/>
  <c r="I17" i="851"/>
  <c r="I16" i="851"/>
  <c r="I15" i="851"/>
  <c r="J14" i="851"/>
  <c r="G14" i="851"/>
  <c r="I13" i="851"/>
  <c r="I12" i="851"/>
  <c r="I11" i="851"/>
  <c r="I10" i="851"/>
  <c r="I9" i="851"/>
  <c r="I8" i="851"/>
  <c r="J7" i="851"/>
  <c r="G7" i="851"/>
  <c r="I6" i="851"/>
  <c r="G46" i="850"/>
  <c r="I45" i="850"/>
  <c r="I44" i="850"/>
  <c r="I43" i="850"/>
  <c r="I42" i="850"/>
  <c r="G41" i="850"/>
  <c r="I40" i="850"/>
  <c r="I39" i="850"/>
  <c r="I38" i="850"/>
  <c r="I37" i="850"/>
  <c r="G36" i="850"/>
  <c r="I35" i="850"/>
  <c r="I34" i="850"/>
  <c r="G33" i="850"/>
  <c r="I32" i="850"/>
  <c r="G30" i="850"/>
  <c r="J29" i="850"/>
  <c r="I29" i="850"/>
  <c r="G28" i="850"/>
  <c r="I27" i="850"/>
  <c r="I26" i="850"/>
  <c r="I25" i="850"/>
  <c r="I24" i="850"/>
  <c r="G23" i="850"/>
  <c r="I22" i="850"/>
  <c r="G21" i="850"/>
  <c r="I20" i="850"/>
  <c r="I19" i="850"/>
  <c r="I18" i="850"/>
  <c r="I17" i="850"/>
  <c r="I16" i="850"/>
  <c r="I15" i="850"/>
  <c r="J14" i="850"/>
  <c r="G14" i="850"/>
  <c r="I13" i="850"/>
  <c r="I12" i="850"/>
  <c r="I11" i="850"/>
  <c r="I10" i="850"/>
  <c r="I9" i="850"/>
  <c r="I8" i="850"/>
  <c r="J7" i="850"/>
  <c r="G7" i="850"/>
  <c r="I6" i="850"/>
  <c r="J48" i="850" l="1"/>
  <c r="J48" i="851"/>
  <c r="G47" i="851"/>
  <c r="G31" i="851"/>
  <c r="G47" i="850"/>
  <c r="G31" i="850"/>
  <c r="G48" i="851" l="1"/>
  <c r="G48" i="850"/>
  <c r="G46" i="849" l="1"/>
  <c r="I45" i="849"/>
  <c r="I44" i="849"/>
  <c r="I43" i="849"/>
  <c r="I42" i="849"/>
  <c r="G41" i="849"/>
  <c r="I40" i="849"/>
  <c r="I39" i="849"/>
  <c r="I38" i="849"/>
  <c r="I37" i="849"/>
  <c r="G36" i="849"/>
  <c r="I35" i="849"/>
  <c r="I34" i="849"/>
  <c r="G33" i="849"/>
  <c r="I32" i="849"/>
  <c r="G30" i="849"/>
  <c r="J29" i="849"/>
  <c r="I29" i="849"/>
  <c r="G28" i="849"/>
  <c r="I27" i="849"/>
  <c r="I26" i="849"/>
  <c r="I25" i="849"/>
  <c r="I24" i="849"/>
  <c r="G23" i="849"/>
  <c r="I22" i="849"/>
  <c r="G21" i="849"/>
  <c r="I20" i="849"/>
  <c r="I19" i="849"/>
  <c r="I18" i="849"/>
  <c r="I17" i="849"/>
  <c r="I16" i="849"/>
  <c r="I15" i="849"/>
  <c r="J14" i="849"/>
  <c r="G14" i="849"/>
  <c r="I13" i="849"/>
  <c r="I12" i="849"/>
  <c r="I11" i="849"/>
  <c r="I10" i="849"/>
  <c r="I9" i="849"/>
  <c r="I8" i="849"/>
  <c r="J7" i="849"/>
  <c r="G7" i="849"/>
  <c r="I6" i="849"/>
  <c r="J48" i="849" l="1"/>
  <c r="G31" i="849"/>
  <c r="G47" i="849"/>
  <c r="G48" i="849" l="1"/>
  <c r="G46" i="848" l="1"/>
  <c r="I45" i="848"/>
  <c r="I44" i="848"/>
  <c r="I43" i="848"/>
  <c r="I42" i="848"/>
  <c r="G41" i="848"/>
  <c r="I40" i="848"/>
  <c r="I39" i="848"/>
  <c r="I38" i="848"/>
  <c r="I37" i="848"/>
  <c r="G36" i="848"/>
  <c r="I35" i="848"/>
  <c r="I34" i="848"/>
  <c r="G33" i="848"/>
  <c r="I32" i="848"/>
  <c r="G30" i="848"/>
  <c r="J29" i="848"/>
  <c r="I29" i="848"/>
  <c r="G28" i="848"/>
  <c r="I27" i="848"/>
  <c r="I26" i="848"/>
  <c r="I25" i="848"/>
  <c r="I24" i="848"/>
  <c r="G23" i="848"/>
  <c r="I22" i="848"/>
  <c r="G21" i="848"/>
  <c r="I20" i="848"/>
  <c r="I19" i="848"/>
  <c r="I18" i="848"/>
  <c r="I17" i="848"/>
  <c r="I16" i="848"/>
  <c r="I15" i="848"/>
  <c r="J14" i="848"/>
  <c r="G14" i="848"/>
  <c r="I13" i="848"/>
  <c r="I12" i="848"/>
  <c r="I11" i="848"/>
  <c r="I10" i="848"/>
  <c r="I9" i="848"/>
  <c r="I8" i="848"/>
  <c r="J7" i="848"/>
  <c r="G7" i="848"/>
  <c r="I6" i="848"/>
  <c r="J48" i="848" l="1"/>
  <c r="G47" i="848"/>
  <c r="G31" i="848"/>
  <c r="G48" i="848" l="1"/>
  <c r="G46" i="847"/>
  <c r="I45" i="847"/>
  <c r="I44" i="847"/>
  <c r="I43" i="847"/>
  <c r="I42" i="847"/>
  <c r="G41" i="847"/>
  <c r="I40" i="847"/>
  <c r="I39" i="847"/>
  <c r="I38" i="847"/>
  <c r="I37" i="847"/>
  <c r="G36" i="847"/>
  <c r="I35" i="847"/>
  <c r="I34" i="847"/>
  <c r="G33" i="847"/>
  <c r="I32" i="847"/>
  <c r="G30" i="847"/>
  <c r="J29" i="847"/>
  <c r="I29" i="847"/>
  <c r="G28" i="847"/>
  <c r="I27" i="847"/>
  <c r="I26" i="847"/>
  <c r="I25" i="847"/>
  <c r="I24" i="847"/>
  <c r="G23" i="847"/>
  <c r="I22" i="847"/>
  <c r="G21" i="847"/>
  <c r="I20" i="847"/>
  <c r="I19" i="847"/>
  <c r="I18" i="847"/>
  <c r="I17" i="847"/>
  <c r="I16" i="847"/>
  <c r="I15" i="847"/>
  <c r="J14" i="847"/>
  <c r="G14" i="847"/>
  <c r="I13" i="847"/>
  <c r="I12" i="847"/>
  <c r="I11" i="847"/>
  <c r="I10" i="847"/>
  <c r="I9" i="847"/>
  <c r="I8" i="847"/>
  <c r="J7" i="847"/>
  <c r="G7" i="847"/>
  <c r="I6" i="847"/>
  <c r="J48" i="847" l="1"/>
  <c r="G47" i="847"/>
  <c r="G31" i="847"/>
  <c r="G48" i="847" l="1"/>
  <c r="G46" i="846"/>
  <c r="I45" i="846"/>
  <c r="I44" i="846"/>
  <c r="I43" i="846"/>
  <c r="I42" i="846"/>
  <c r="G41" i="846"/>
  <c r="I40" i="846"/>
  <c r="I39" i="846"/>
  <c r="I38" i="846"/>
  <c r="I37" i="846"/>
  <c r="G36" i="846"/>
  <c r="I35" i="846"/>
  <c r="I34" i="846"/>
  <c r="G33" i="846"/>
  <c r="I32" i="846"/>
  <c r="G30" i="846"/>
  <c r="J29" i="846"/>
  <c r="I29" i="846"/>
  <c r="G28" i="846"/>
  <c r="I27" i="846"/>
  <c r="I26" i="846"/>
  <c r="I25" i="846"/>
  <c r="I24" i="846"/>
  <c r="G23" i="846"/>
  <c r="I22" i="846"/>
  <c r="G21" i="846"/>
  <c r="I20" i="846"/>
  <c r="I19" i="846"/>
  <c r="I18" i="846"/>
  <c r="I17" i="846"/>
  <c r="I16" i="846"/>
  <c r="I15" i="846"/>
  <c r="J14" i="846"/>
  <c r="G14" i="846"/>
  <c r="I13" i="846"/>
  <c r="I12" i="846"/>
  <c r="I11" i="846"/>
  <c r="I10" i="846"/>
  <c r="I9" i="846"/>
  <c r="I8" i="846"/>
  <c r="J7" i="846"/>
  <c r="G7" i="846"/>
  <c r="I6" i="846"/>
  <c r="J48" i="846" l="1"/>
  <c r="G31" i="846"/>
  <c r="G47" i="846"/>
  <c r="G48" i="846" l="1"/>
</calcChain>
</file>

<file path=xl/sharedStrings.xml><?xml version="1.0" encoding="utf-8"?>
<sst xmlns="http://schemas.openxmlformats.org/spreadsheetml/2006/main" count="2074" uniqueCount="243">
  <si>
    <t xml:space="preserve">  NNPC GAS INFRASTRUCTURE COMPANY LIMITED
(A Subsidiary of Nigerian National Petroleum Company Limited)</t>
  </si>
  <si>
    <t xml:space="preserve">  </t>
  </si>
  <si>
    <t>REGION</t>
  </si>
  <si>
    <t>CUSTOMER TYPE</t>
  </si>
  <si>
    <t>STATIONS</t>
  </si>
  <si>
    <t>ALLOCATION</t>
  </si>
  <si>
    <t>OFFTAKE (Mmscfd)</t>
  </si>
  <si>
    <t xml:space="preserve">PRESSURE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</si>
  <si>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REMARKS</t>
  </si>
  <si>
    <t>MEGAWATTS (MW)</t>
  </si>
  <si>
    <t>NPDC Power Customers</t>
  </si>
  <si>
    <t>Transcorp Ughelli</t>
  </si>
  <si>
    <t>24</t>
  </si>
  <si>
    <t>Sub-Total</t>
  </si>
  <si>
    <t>Direct Power Customer</t>
  </si>
  <si>
    <t>59/34</t>
  </si>
  <si>
    <t>57/0</t>
  </si>
  <si>
    <t>44/40</t>
  </si>
  <si>
    <t>33/31</t>
  </si>
  <si>
    <t>NDPHC NIPP Olorunsogo</t>
  </si>
  <si>
    <t>NIPP Ihovbor</t>
  </si>
  <si>
    <t>52/34</t>
  </si>
  <si>
    <t>NIPP Omotosho</t>
  </si>
  <si>
    <t>NIPP Geregu</t>
  </si>
  <si>
    <t>NIPP Sapele</t>
  </si>
  <si>
    <t>Azura Power West Africa</t>
  </si>
  <si>
    <t>53/23</t>
  </si>
  <si>
    <t>GAS LINK</t>
  </si>
  <si>
    <t>26/18</t>
  </si>
  <si>
    <t>Falcon Petroleum Limited</t>
  </si>
  <si>
    <t>30/10</t>
  </si>
  <si>
    <t>WAPCO Sagamu</t>
  </si>
  <si>
    <t>32/8</t>
  </si>
  <si>
    <t>WAPCO Ewekoro</t>
  </si>
  <si>
    <t>28/15</t>
  </si>
  <si>
    <t>58/32</t>
  </si>
  <si>
    <t>0</t>
  </si>
  <si>
    <t>28/27</t>
  </si>
  <si>
    <t>53/32</t>
  </si>
  <si>
    <t>20/4</t>
  </si>
  <si>
    <t>18/4</t>
  </si>
  <si>
    <t>33/9</t>
  </si>
  <si>
    <t>21/4</t>
  </si>
  <si>
    <t>24/4</t>
  </si>
  <si>
    <t>25/4</t>
  </si>
  <si>
    <t>29/4</t>
  </si>
  <si>
    <t>34/18</t>
  </si>
  <si>
    <t>CF FEED</t>
  </si>
  <si>
    <t>19/4</t>
  </si>
  <si>
    <t>SUNLIGHT RESOURCES</t>
  </si>
  <si>
    <t>BETA Glass</t>
  </si>
  <si>
    <t>Other Transmission</t>
  </si>
  <si>
    <t>SNG</t>
  </si>
  <si>
    <t>SPDC Edjeba</t>
  </si>
  <si>
    <t>21/15</t>
  </si>
  <si>
    <t>DFL (Dangote fertilizer limited)</t>
  </si>
  <si>
    <t>31/29</t>
  </si>
  <si>
    <t>SPDC Ogunu</t>
  </si>
  <si>
    <t>21/21</t>
  </si>
  <si>
    <t>Export</t>
  </si>
  <si>
    <t>WAGP</t>
  </si>
  <si>
    <t>Total</t>
  </si>
  <si>
    <t/>
  </si>
  <si>
    <t>7 Energy Power Customers</t>
  </si>
  <si>
    <t>NDPHC Calabar</t>
  </si>
  <si>
    <t>35</t>
  </si>
  <si>
    <t xml:space="preserve">Trans-Afam </t>
  </si>
  <si>
    <t>23</t>
  </si>
  <si>
    <t>ALAOJI</t>
  </si>
  <si>
    <t>ELEME (FIPL)</t>
  </si>
  <si>
    <t>AOE</t>
  </si>
  <si>
    <t>AFAM (FIPL)</t>
  </si>
  <si>
    <t>AMADI (FIPL)</t>
  </si>
  <si>
    <t>30</t>
  </si>
  <si>
    <t xml:space="preserve">Commercial Customer                     </t>
  </si>
  <si>
    <t>Gel Utility Limited</t>
  </si>
  <si>
    <t>38</t>
  </si>
  <si>
    <t>Notore Chemical Industries</t>
  </si>
  <si>
    <t>Denna Rossi</t>
  </si>
  <si>
    <t>Aba-SNG</t>
  </si>
  <si>
    <t>GPAL</t>
  </si>
  <si>
    <t xml:space="preserve">             </t>
  </si>
  <si>
    <t>GRAND TOTAL</t>
  </si>
  <si>
    <t>33/32</t>
  </si>
  <si>
    <t>53/34</t>
  </si>
  <si>
    <t>53/22</t>
  </si>
  <si>
    <t>30/18</t>
  </si>
  <si>
    <t>33/10</t>
  </si>
  <si>
    <t>33/8</t>
  </si>
  <si>
    <t>27/15</t>
  </si>
  <si>
    <t>60/36</t>
  </si>
  <si>
    <t>29/28</t>
  </si>
  <si>
    <t>33/7</t>
  </si>
  <si>
    <t>35/4</t>
  </si>
  <si>
    <t>23/4</t>
  </si>
  <si>
    <t>26/4</t>
  </si>
  <si>
    <t>34/32</t>
  </si>
  <si>
    <t>31</t>
  </si>
  <si>
    <t>25</t>
  </si>
  <si>
    <t>61/34</t>
  </si>
  <si>
    <t>46/40</t>
  </si>
  <si>
    <t>39/36</t>
  </si>
  <si>
    <t>54/32</t>
  </si>
  <si>
    <t>54/22</t>
  </si>
  <si>
    <t>35/18</t>
  </si>
  <si>
    <t>38/10</t>
  </si>
  <si>
    <t>37/7</t>
  </si>
  <si>
    <t>34/16</t>
  </si>
  <si>
    <t>28/4</t>
  </si>
  <si>
    <t>31/4</t>
  </si>
  <si>
    <t>37/18</t>
  </si>
  <si>
    <t>37/36</t>
  </si>
  <si>
    <t>32</t>
  </si>
  <si>
    <t>62/34</t>
  </si>
  <si>
    <t>61/0</t>
  </si>
  <si>
    <t>49/40</t>
  </si>
  <si>
    <t>41/35</t>
  </si>
  <si>
    <t>56/36</t>
  </si>
  <si>
    <t>56/22</t>
  </si>
  <si>
    <t>33/18</t>
  </si>
  <si>
    <t>36/10</t>
  </si>
  <si>
    <t>39/7</t>
  </si>
  <si>
    <t>36/15</t>
  </si>
  <si>
    <t>32/6</t>
  </si>
  <si>
    <t>36/4</t>
  </si>
  <si>
    <t>31/10</t>
  </si>
  <si>
    <t>36/8</t>
  </si>
  <si>
    <t>36/34</t>
  </si>
  <si>
    <t>59/30</t>
  </si>
  <si>
    <t>60/0</t>
  </si>
  <si>
    <t>38/35</t>
  </si>
  <si>
    <t>52/22</t>
  </si>
  <si>
    <t>29/18</t>
  </si>
  <si>
    <t>37/8</t>
  </si>
  <si>
    <t>33/15</t>
  </si>
  <si>
    <t>32/4</t>
  </si>
  <si>
    <t>53.24</t>
  </si>
  <si>
    <t>60/30</t>
  </si>
  <si>
    <t>52/32</t>
  </si>
  <si>
    <t>25/18</t>
  </si>
  <si>
    <t>29/15</t>
  </si>
  <si>
    <t>27/4</t>
  </si>
  <si>
    <t>32/7</t>
  </si>
  <si>
    <t>58/34</t>
  </si>
  <si>
    <t>38/34</t>
  </si>
  <si>
    <t>32/10</t>
  </si>
  <si>
    <t>30.92</t>
  </si>
  <si>
    <t>58/0</t>
  </si>
  <si>
    <t>39/35</t>
  </si>
  <si>
    <t>54/31</t>
  </si>
  <si>
    <t>54/23</t>
  </si>
  <si>
    <t>27/18</t>
  </si>
  <si>
    <t>30/16</t>
  </si>
  <si>
    <t>30/29</t>
  </si>
  <si>
    <t>27/25</t>
  </si>
  <si>
    <t>32/30</t>
  </si>
  <si>
    <t>NA</t>
  </si>
  <si>
    <t>48/40</t>
  </si>
  <si>
    <t>45/35</t>
  </si>
  <si>
    <t>56/23</t>
  </si>
  <si>
    <t>39/18</t>
  </si>
  <si>
    <t>41/10</t>
  </si>
  <si>
    <t>38/8</t>
  </si>
  <si>
    <t>40/16</t>
  </si>
  <si>
    <t>41/40</t>
  </si>
  <si>
    <t>62/0</t>
  </si>
  <si>
    <t>52/40</t>
  </si>
  <si>
    <t>48/36</t>
  </si>
  <si>
    <t>60/32</t>
  </si>
  <si>
    <t>60/23</t>
  </si>
  <si>
    <t>45/18</t>
  </si>
  <si>
    <t>46/10</t>
  </si>
  <si>
    <t>46/17</t>
  </si>
  <si>
    <t>46/43</t>
  </si>
  <si>
    <t>64/0</t>
  </si>
  <si>
    <t>54/40</t>
  </si>
  <si>
    <t>40/34</t>
  </si>
  <si>
    <t>61/33</t>
  </si>
  <si>
    <t>61/23</t>
  </si>
  <si>
    <t>13/8</t>
  </si>
  <si>
    <t>27/11</t>
  </si>
  <si>
    <t>44/16</t>
  </si>
  <si>
    <t>43/4</t>
  </si>
  <si>
    <t>47/43</t>
  </si>
  <si>
    <t>26</t>
  </si>
  <si>
    <t>12/8</t>
  </si>
  <si>
    <t>53/40</t>
  </si>
  <si>
    <t>36/33</t>
  </si>
  <si>
    <t>63/0</t>
  </si>
  <si>
    <t>59/23</t>
  </si>
  <si>
    <t>11/7</t>
  </si>
  <si>
    <t>0/0</t>
  </si>
  <si>
    <t>44/41</t>
  </si>
  <si>
    <t>33/30</t>
  </si>
  <si>
    <t>57/33</t>
  </si>
  <si>
    <t xml:space="preserve"> 62/34</t>
  </si>
  <si>
    <t>57/23</t>
  </si>
  <si>
    <t>10/7</t>
  </si>
  <si>
    <t>37/15</t>
  </si>
  <si>
    <t>32/0</t>
  </si>
  <si>
    <t>41/39</t>
  </si>
  <si>
    <t>47/40</t>
  </si>
  <si>
    <t>53/31</t>
  </si>
  <si>
    <t>35/11</t>
  </si>
  <si>
    <t>38/0</t>
  </si>
  <si>
    <t>32/18</t>
  </si>
  <si>
    <t>43/40</t>
  </si>
  <si>
    <t>31/28</t>
  </si>
  <si>
    <t>52/23</t>
  </si>
  <si>
    <t>34/11</t>
  </si>
  <si>
    <t>31/15</t>
  </si>
  <si>
    <t>37/9</t>
  </si>
  <si>
    <t>35/33</t>
  </si>
  <si>
    <t>60/34</t>
  </si>
  <si>
    <t>35/32</t>
  </si>
  <si>
    <t>31/0</t>
  </si>
  <si>
    <t>39/10</t>
  </si>
  <si>
    <t>39/37</t>
  </si>
  <si>
    <t>57/34</t>
  </si>
  <si>
    <t>28/0</t>
  </si>
  <si>
    <t>23/18</t>
  </si>
  <si>
    <t>56/34</t>
  </si>
  <si>
    <t>17/0</t>
  </si>
  <si>
    <t>51/34</t>
  </si>
  <si>
    <t>50/23</t>
  </si>
  <si>
    <t>30/28</t>
  </si>
  <si>
    <t>42/40</t>
  </si>
  <si>
    <t>51/23</t>
  </si>
  <si>
    <t>28/16</t>
  </si>
  <si>
    <t>32/29</t>
  </si>
  <si>
    <t>55/34</t>
  </si>
  <si>
    <t>16/0</t>
  </si>
  <si>
    <t>40/40</t>
  </si>
  <si>
    <t>27/26</t>
  </si>
  <si>
    <t>23/17</t>
  </si>
  <si>
    <t>29/11</t>
  </si>
  <si>
    <t>25/14</t>
  </si>
  <si>
    <t>29/27</t>
  </si>
  <si>
    <t>GVData</t>
  </si>
  <si>
    <t>ew0KICAiZG9jSUQiOiAiYWQzZjQ2MDMtOTllZC00NDgwLWI1YWEtMGJhNTE0NTI1MTkxIg0KfQ==</t>
  </si>
  <si>
    <t>GVData0</t>
  </si>
  <si>
    <t>(end)</t>
  </si>
  <si>
    <t>GAS OFF-TAKE FOR MONTH X 20XX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</si>
</sst>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(* #,##0.00_);_(* \(#,##0.00\);_(* &quot;-&quot;??_);_(@_)"/>
    <numFmt numFmtId="164" formatCode="_-&quot;₦&quot;* #,##0.00_-;\-&quot;₦&quot;* #,##0.00_-;_-&quot;₦&quot;* &quot;-&quot;??_-;_-@_-"/>
    <numFmt numFmtId="165" formatCode="_-* #,##0.00_-;\-* #,##0.00_-;_-* &quot;-&quot;??_-;_-@_-"/>
    <numFmt numFmtId="166" formatCode="[$-10409]#,##0.000;\-#,##0.000"/>
    <numFmt numFmtId="167" formatCode="0.000"/>
    <numFmt numFmtId="168" formatCode="_-* #,##0.000_-;\-* #,##0.000_-;_-* &quot;-&quot;??_-;_-@_-"/>
  </numFmts>
  <fonts count="21">
    <font>
      <sz val="11"/>
      <name val="Calibri"/>
      <charset val="13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color rgb="FF000000"/>
      <name val="Montserrat"/>
    </font>
    <font>
      <b/>
      <sz val="18"/>
      <color theme="1"/>
      <name val="Montserrat"/>
    </font>
    <font>
      <sz val="18"/>
      <color theme="1"/>
      <name val="Montserrat"/>
    </font>
    <font>
      <sz val="14"/>
      <color theme="1"/>
      <name val="Montserrat"/>
    </font>
    <font>
      <b/>
      <sz val="14"/>
      <color theme="1"/>
      <name val="Montserrat"/>
    </font>
    <font>
      <sz val="12"/>
      <color theme="1"/>
      <name val="Montserrat"/>
    </font>
    <font>
      <sz val="14"/>
      <color theme="1"/>
      <name val="Tahoma"/>
      <family val="2"/>
    </font>
    <font>
      <b/>
      <sz val="12"/>
      <color theme="1"/>
      <name val="Montserrat"/>
    </font>
    <font>
      <sz val="12"/>
      <name val="Montserrat"/>
    </font>
    <font>
      <sz val="11"/>
      <name val="Montserrat"/>
    </font>
    <font>
      <sz val="12"/>
      <color rgb="FF000000"/>
      <name val="Montserrat"/>
    </font>
    <font>
      <b/>
      <sz val="14"/>
      <name val="Montserrat"/>
    </font>
    <font>
      <sz val="14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2"/>
      <color rgb="FF000000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FAEBD7"/>
        <bgColor rgb="FFFAEBD7"/>
      </patternFill>
    </fill>
    <fill>
      <patternFill patternType="solid">
        <fgColor theme="0"/>
        <bgColor indexed="64"/>
      </patternFill>
    </fill>
    <fill>
      <patternFill patternType="solid">
        <fgColor theme="6" tint="0.79979857783745845"/>
        <bgColor rgb="FFFAEBD7"/>
      </patternFill>
    </fill>
    <fill>
      <patternFill patternType="solid">
        <fgColor theme="6" tint="0.7997985778374584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79857783745845"/>
        <bgColor indexed="64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rgb="FFD3D3D3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72">
    <xf numFmtId="0" fontId="0" fillId="0" borderId="0"/>
    <xf numFmtId="165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43" fontId="17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>
      <alignment vertical="center"/>
    </xf>
    <xf numFmtId="0" fontId="18" fillId="0" borderId="0"/>
    <xf numFmtId="0" fontId="18" fillId="0" borderId="0"/>
    <xf numFmtId="0" fontId="17" fillId="0" borderId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5" fontId="1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9" fillId="0" borderId="0" applyFont="0" applyFill="0" applyBorder="0" applyAlignment="0" applyProtection="0"/>
    <xf numFmtId="164" fontId="19" fillId="0" borderId="0" applyFont="0" applyFill="0" applyBorder="0" applyAlignment="0" applyProtection="0"/>
  </cellStyleXfs>
  <cellXfs count="91">
    <xf numFmtId="0" fontId="0" fillId="0" borderId="0" xfId="0"/>
    <xf numFmtId="49" fontId="0" fillId="0" borderId="0" xfId="0" applyNumberFormat="1"/>
    <xf numFmtId="0" fontId="7" fillId="0" borderId="0" xfId="0" applyFont="1"/>
    <xf numFmtId="49" fontId="7" fillId="0" borderId="0" xfId="0" applyNumberFormat="1" applyFont="1"/>
    <xf numFmtId="0" fontId="8" fillId="2" borderId="2" xfId="0" applyFont="1" applyFill="1" applyBorder="1" applyAlignment="1">
      <alignment horizontal="center" vertical="top" wrapText="1" readingOrder="1"/>
    </xf>
    <xf numFmtId="49" fontId="8" fillId="2" borderId="2" xfId="0" applyNumberFormat="1" applyFont="1" applyFill="1" applyBorder="1" applyAlignment="1">
      <alignment horizontal="center" vertical="top" wrapText="1" readingOrder="1"/>
    </xf>
    <xf numFmtId="0" fontId="7" fillId="0" borderId="0" xfId="0" applyFont="1" applyAlignment="1">
      <alignment horizontal="center" vertical="top" wrapText="1" readingOrder="1"/>
    </xf>
    <xf numFmtId="0" fontId="7" fillId="0" borderId="3" xfId="0" applyFont="1" applyBorder="1" applyAlignment="1">
      <alignment horizontal="center" vertical="top" wrapText="1" readingOrder="1"/>
    </xf>
    <xf numFmtId="0" fontId="9" fillId="0" borderId="2" xfId="0" applyFont="1" applyBorder="1" applyAlignment="1">
      <alignment horizontal="center" vertical="top" wrapText="1" readingOrder="1"/>
    </xf>
    <xf numFmtId="0" fontId="9" fillId="0" borderId="2" xfId="0" applyFont="1" applyBorder="1" applyAlignment="1">
      <alignment vertical="top" wrapText="1" readingOrder="1"/>
    </xf>
    <xf numFmtId="166" fontId="10" fillId="0" borderId="2" xfId="0" applyNumberFormat="1" applyFont="1" applyBorder="1" applyAlignment="1">
      <alignment horizontal="right" vertical="top" wrapText="1" readingOrder="1"/>
    </xf>
    <xf numFmtId="0" fontId="10" fillId="0" borderId="2" xfId="0" applyFont="1" applyBorder="1" applyAlignment="1">
      <alignment horizontal="center" vertical="top" wrapText="1" readingOrder="1"/>
    </xf>
    <xf numFmtId="0" fontId="9" fillId="0" borderId="2" xfId="0" applyFont="1" applyBorder="1" applyAlignment="1">
      <alignment vertical="top" wrapText="1"/>
    </xf>
    <xf numFmtId="0" fontId="11" fillId="2" borderId="2" xfId="0" applyFont="1" applyFill="1" applyBorder="1" applyAlignment="1">
      <alignment vertical="top" wrapText="1" readingOrder="1"/>
    </xf>
    <xf numFmtId="0" fontId="9" fillId="2" borderId="2" xfId="0" applyFont="1" applyFill="1" applyBorder="1" applyAlignment="1">
      <alignment vertical="top" wrapText="1" readingOrder="1"/>
    </xf>
    <xf numFmtId="49" fontId="9" fillId="2" borderId="2" xfId="0" applyNumberFormat="1" applyFont="1" applyFill="1" applyBorder="1" applyAlignment="1">
      <alignment horizontal="center" vertical="top" wrapText="1" readingOrder="1"/>
    </xf>
    <xf numFmtId="49" fontId="10" fillId="0" borderId="2" xfId="0" applyNumberFormat="1" applyFont="1" applyBorder="1" applyAlignment="1">
      <alignment horizontal="center" vertical="top" wrapText="1" readingOrder="1"/>
    </xf>
    <xf numFmtId="166" fontId="9" fillId="0" borderId="2" xfId="0" applyNumberFormat="1" applyFont="1" applyBorder="1" applyAlignment="1">
      <alignment vertical="top" wrapText="1" readingOrder="1"/>
    </xf>
    <xf numFmtId="0" fontId="8" fillId="4" borderId="2" xfId="0" applyFont="1" applyFill="1" applyBorder="1" applyAlignment="1">
      <alignment horizontal="center" vertical="top" wrapText="1" readingOrder="1"/>
    </xf>
    <xf numFmtId="166" fontId="11" fillId="5" borderId="2" xfId="0" applyNumberFormat="1" applyFont="1" applyFill="1" applyBorder="1" applyAlignment="1">
      <alignment vertical="top" wrapText="1" readingOrder="1"/>
    </xf>
    <xf numFmtId="166" fontId="11" fillId="2" borderId="2" xfId="0" applyNumberFormat="1" applyFont="1" applyFill="1" applyBorder="1" applyAlignment="1">
      <alignment vertical="top" readingOrder="1"/>
    </xf>
    <xf numFmtId="166" fontId="10" fillId="0" borderId="2" xfId="0" applyNumberFormat="1" applyFont="1" applyBorder="1" applyAlignment="1">
      <alignment vertical="top" wrapText="1" readingOrder="1"/>
    </xf>
    <xf numFmtId="0" fontId="10" fillId="0" borderId="2" xfId="0" applyFont="1" applyBorder="1" applyAlignment="1">
      <alignment horizontal="center" vertical="top" readingOrder="1"/>
    </xf>
    <xf numFmtId="49" fontId="11" fillId="2" borderId="2" xfId="0" applyNumberFormat="1" applyFont="1" applyFill="1" applyBorder="1" applyAlignment="1">
      <alignment vertical="top" readingOrder="1"/>
    </xf>
    <xf numFmtId="0" fontId="13" fillId="0" borderId="3" xfId="0" applyFont="1" applyBorder="1" applyAlignment="1">
      <alignment vertical="top" wrapText="1" readingOrder="1"/>
    </xf>
    <xf numFmtId="0" fontId="13" fillId="0" borderId="8" xfId="0" applyFont="1" applyBorder="1" applyAlignment="1">
      <alignment vertical="top" wrapText="1" readingOrder="1"/>
    </xf>
    <xf numFmtId="166" fontId="9" fillId="2" borderId="2" xfId="0" applyNumberFormat="1" applyFont="1" applyFill="1" applyBorder="1" applyAlignment="1">
      <alignment vertical="top" wrapText="1" readingOrder="1"/>
    </xf>
    <xf numFmtId="49" fontId="11" fillId="2" borderId="2" xfId="0" applyNumberFormat="1" applyFont="1" applyFill="1" applyBorder="1" applyAlignment="1">
      <alignment horizontal="center" vertical="top" wrapText="1" readingOrder="1"/>
    </xf>
    <xf numFmtId="0" fontId="13" fillId="0" borderId="10" xfId="0" applyFont="1" applyBorder="1" applyAlignment="1">
      <alignment vertical="top" wrapText="1" readingOrder="1"/>
    </xf>
    <xf numFmtId="0" fontId="13" fillId="0" borderId="11" xfId="0" applyFont="1" applyBorder="1" applyAlignment="1">
      <alignment vertical="top" wrapText="1" readingOrder="1"/>
    </xf>
    <xf numFmtId="0" fontId="11" fillId="2" borderId="2" xfId="0" applyFont="1" applyFill="1" applyBorder="1" applyAlignment="1">
      <alignment horizontal="center" vertical="top" wrapText="1" readingOrder="1"/>
    </xf>
    <xf numFmtId="49" fontId="14" fillId="6" borderId="9" xfId="0" applyNumberFormat="1" applyFont="1" applyFill="1" applyBorder="1" applyAlignment="1">
      <alignment horizontal="center" vertical="top" wrapText="1"/>
    </xf>
    <xf numFmtId="0" fontId="13" fillId="0" borderId="0" xfId="0" applyFont="1" applyAlignment="1">
      <alignment vertical="top" wrapText="1" readingOrder="1"/>
    </xf>
    <xf numFmtId="0" fontId="15" fillId="0" borderId="8" xfId="0" applyFont="1" applyBorder="1" applyAlignment="1">
      <alignment horizontal="center" vertical="top" wrapText="1" readingOrder="1"/>
    </xf>
    <xf numFmtId="0" fontId="12" fillId="0" borderId="0" xfId="0" applyFont="1"/>
    <xf numFmtId="0" fontId="14" fillId="0" borderId="9" xfId="0" applyFont="1" applyBorder="1" applyAlignment="1">
      <alignment horizontal="center" vertical="top" wrapText="1"/>
    </xf>
    <xf numFmtId="0" fontId="7" fillId="0" borderId="0" xfId="0" applyFont="1" applyAlignment="1">
      <alignment vertical="top" wrapText="1"/>
    </xf>
    <xf numFmtId="49" fontId="11" fillId="2" borderId="2" xfId="0" applyNumberFormat="1" applyFont="1" applyFill="1" applyBorder="1" applyAlignment="1">
      <alignment horizontal="center" vertical="center" wrapText="1" readingOrder="1"/>
    </xf>
    <xf numFmtId="0" fontId="13" fillId="0" borderId="0" xfId="0" applyFont="1"/>
    <xf numFmtId="49" fontId="11" fillId="2" borderId="2" xfId="0" applyNumberFormat="1" applyFont="1" applyFill="1" applyBorder="1" applyAlignment="1">
      <alignment vertical="top" wrapText="1" readingOrder="1"/>
    </xf>
    <xf numFmtId="0" fontId="9" fillId="0" borderId="0" xfId="0" applyFont="1" applyAlignment="1">
      <alignment vertical="top" wrapText="1"/>
    </xf>
    <xf numFmtId="49" fontId="9" fillId="0" borderId="0" xfId="0" applyNumberFormat="1" applyFont="1" applyAlignment="1">
      <alignment vertical="top" wrapText="1"/>
    </xf>
    <xf numFmtId="166" fontId="11" fillId="3" borderId="2" xfId="0" applyNumberFormat="1" applyFont="1" applyFill="1" applyBorder="1" applyAlignment="1">
      <alignment vertical="top" wrapText="1" readingOrder="1"/>
    </xf>
    <xf numFmtId="0" fontId="16" fillId="0" borderId="13" xfId="0" applyFont="1" applyBorder="1" applyAlignment="1">
      <alignment vertical="top" wrapText="1"/>
    </xf>
    <xf numFmtId="0" fontId="16" fillId="0" borderId="0" xfId="0" applyFont="1" applyAlignment="1">
      <alignment vertical="top" wrapText="1"/>
    </xf>
    <xf numFmtId="166" fontId="11" fillId="8" borderId="2" xfId="0" applyNumberFormat="1" applyFont="1" applyFill="1" applyBorder="1" applyAlignment="1">
      <alignment vertical="top" wrapText="1" readingOrder="1"/>
    </xf>
    <xf numFmtId="0" fontId="11" fillId="2" borderId="14" xfId="0" applyFont="1" applyFill="1" applyBorder="1" applyAlignment="1">
      <alignment vertical="top" wrapText="1" readingOrder="1"/>
    </xf>
    <xf numFmtId="166" fontId="11" fillId="7" borderId="1" xfId="0" applyNumberFormat="1" applyFont="1" applyFill="1" applyBorder="1" applyAlignment="1">
      <alignment vertical="top" wrapText="1" readingOrder="1"/>
    </xf>
    <xf numFmtId="0" fontId="9" fillId="0" borderId="15" xfId="0" applyFont="1" applyBorder="1"/>
    <xf numFmtId="0" fontId="0" fillId="0" borderId="2" xfId="0" applyBorder="1"/>
    <xf numFmtId="166" fontId="10" fillId="0" borderId="2" xfId="0" applyNumberFormat="1" applyFont="1" applyBorder="1" applyAlignment="1">
      <alignment vertical="top" readingOrder="1"/>
    </xf>
    <xf numFmtId="167" fontId="14" fillId="0" borderId="9" xfId="0" applyNumberFormat="1" applyFont="1" applyBorder="1" applyAlignment="1">
      <alignment horizontal="right" vertical="top" wrapText="1"/>
    </xf>
    <xf numFmtId="167" fontId="12" fillId="0" borderId="0" xfId="0" applyNumberFormat="1" applyFont="1" applyAlignment="1">
      <alignment vertical="top" wrapText="1"/>
    </xf>
    <xf numFmtId="167" fontId="9" fillId="0" borderId="2" xfId="0" applyNumberFormat="1" applyFont="1" applyBorder="1" applyAlignment="1">
      <alignment horizontal="right" vertical="top" wrapText="1" readingOrder="1"/>
    </xf>
    <xf numFmtId="166" fontId="7" fillId="0" borderId="2" xfId="0" applyNumberFormat="1" applyFont="1" applyBorder="1" applyAlignment="1">
      <alignment horizontal="right" vertical="center" wrapText="1" readingOrder="1"/>
    </xf>
    <xf numFmtId="49" fontId="7" fillId="0" borderId="2" xfId="0" applyNumberFormat="1" applyFont="1" applyBorder="1" applyAlignment="1">
      <alignment horizontal="center" vertical="center" wrapText="1" readingOrder="1"/>
    </xf>
    <xf numFmtId="166" fontId="7" fillId="0" borderId="2" xfId="0" applyNumberFormat="1" applyFont="1" applyBorder="1" applyAlignment="1">
      <alignment vertical="top" wrapText="1" readingOrder="1"/>
    </xf>
    <xf numFmtId="167" fontId="11" fillId="2" borderId="2" xfId="0" applyNumberFormat="1" applyFont="1" applyFill="1" applyBorder="1" applyAlignment="1">
      <alignment vertical="top" wrapText="1" readingOrder="1"/>
    </xf>
    <xf numFmtId="167" fontId="10" fillId="0" borderId="2" xfId="0" applyNumberFormat="1" applyFont="1" applyBorder="1" applyAlignment="1">
      <alignment horizontal="right" vertical="top" wrapText="1" readingOrder="1"/>
    </xf>
    <xf numFmtId="167" fontId="10" fillId="0" borderId="1" xfId="0" applyNumberFormat="1" applyFont="1" applyBorder="1" applyAlignment="1">
      <alignment horizontal="right" vertical="top" wrapText="1" readingOrder="1"/>
    </xf>
    <xf numFmtId="167" fontId="11" fillId="2" borderId="2" xfId="0" applyNumberFormat="1" applyFont="1" applyFill="1" applyBorder="1" applyAlignment="1">
      <alignment vertical="top" readingOrder="1"/>
    </xf>
    <xf numFmtId="167" fontId="11" fillId="2" borderId="2" xfId="0" applyNumberFormat="1" applyFont="1" applyFill="1" applyBorder="1" applyAlignment="1">
      <alignment horizontal="right" vertical="top" readingOrder="1"/>
    </xf>
    <xf numFmtId="167" fontId="10" fillId="0" borderId="2" xfId="0" applyNumberFormat="1" applyFont="1" applyBorder="1" applyAlignment="1">
      <alignment horizontal="right" vertical="top" readingOrder="1"/>
    </xf>
    <xf numFmtId="167" fontId="11" fillId="2" borderId="2" xfId="0" applyNumberFormat="1" applyFont="1" applyFill="1" applyBorder="1" applyAlignment="1">
      <alignment horizontal="right" vertical="top" wrapText="1" readingOrder="1"/>
    </xf>
    <xf numFmtId="167" fontId="14" fillId="0" borderId="9" xfId="0" applyNumberFormat="1" applyFont="1" applyBorder="1" applyAlignment="1">
      <alignment vertical="top"/>
    </xf>
    <xf numFmtId="2" fontId="14" fillId="6" borderId="9" xfId="0" applyNumberFormat="1" applyFont="1" applyFill="1" applyBorder="1" applyAlignment="1">
      <alignment vertical="top" wrapText="1"/>
    </xf>
    <xf numFmtId="168" fontId="11" fillId="2" borderId="2" xfId="70" applyNumberFormat="1" applyFont="1" applyFill="1" applyBorder="1" applyAlignment="1">
      <alignment vertical="top" wrapText="1" readingOrder="1"/>
    </xf>
    <xf numFmtId="167" fontId="20" fillId="6" borderId="9" xfId="71" applyNumberFormat="1" applyFont="1" applyFill="1" applyBorder="1" applyAlignment="1">
      <alignment horizontal="right" vertical="top" wrapText="1"/>
    </xf>
    <xf numFmtId="0" fontId="12" fillId="0" borderId="7" xfId="0" applyFont="1" applyBorder="1" applyAlignment="1">
      <alignment vertical="top" wrapText="1"/>
    </xf>
    <xf numFmtId="0" fontId="9" fillId="0" borderId="5" xfId="0" applyFont="1" applyBorder="1" applyAlignment="1">
      <alignment horizontal="center" vertical="top" wrapText="1" readingOrder="1"/>
    </xf>
    <xf numFmtId="0" fontId="9" fillId="0" borderId="3" xfId="0" applyFont="1" applyBorder="1" applyAlignment="1">
      <alignment vertical="top" wrapText="1"/>
    </xf>
    <xf numFmtId="0" fontId="12" fillId="0" borderId="6" xfId="0" applyFont="1" applyBorder="1"/>
    <xf numFmtId="0" fontId="7" fillId="0" borderId="8" xfId="0" applyFont="1" applyBorder="1" applyAlignment="1">
      <alignment horizontal="center" vertical="top" wrapText="1" readingOrder="1"/>
    </xf>
    <xf numFmtId="0" fontId="7" fillId="0" borderId="3" xfId="0" applyFont="1" applyBorder="1" applyAlignment="1">
      <alignment horizontal="center" vertical="top" wrapText="1" readingOrder="1"/>
    </xf>
    <xf numFmtId="0" fontId="12" fillId="0" borderId="7" xfId="0" applyFont="1" applyBorder="1"/>
    <xf numFmtId="0" fontId="4" fillId="0" borderId="0" xfId="0" applyFont="1" applyAlignment="1">
      <alignment horizontal="center" vertical="top" wrapText="1" readingOrder="1"/>
    </xf>
    <xf numFmtId="0" fontId="5" fillId="2" borderId="0" xfId="0" applyFont="1" applyFill="1" applyAlignment="1">
      <alignment horizontal="center" vertical="top" wrapText="1" readingOrder="1"/>
    </xf>
    <xf numFmtId="0" fontId="6" fillId="0" borderId="0" xfId="0" applyFont="1"/>
    <xf numFmtId="0" fontId="8" fillId="2" borderId="1" xfId="0" applyFont="1" applyFill="1" applyBorder="1" applyAlignment="1">
      <alignment horizontal="center" vertical="top" wrapText="1" readingOrder="1"/>
    </xf>
    <xf numFmtId="0" fontId="7" fillId="0" borderId="1" xfId="0" applyFont="1" applyBorder="1" applyAlignment="1">
      <alignment vertical="top" wrapText="1"/>
    </xf>
    <xf numFmtId="0" fontId="9" fillId="0" borderId="4" xfId="0" applyFont="1" applyBorder="1" applyAlignment="1">
      <alignment horizontal="center" vertical="top" wrapText="1" readingOrder="1"/>
    </xf>
    <xf numFmtId="0" fontId="9" fillId="0" borderId="4" xfId="0" applyFont="1" applyBorder="1" applyAlignment="1">
      <alignment vertical="top" wrapText="1"/>
    </xf>
    <xf numFmtId="0" fontId="7" fillId="0" borderId="12" xfId="0" applyFont="1" applyBorder="1" applyAlignment="1">
      <alignment horizontal="center" vertical="top" wrapText="1" readingOrder="1"/>
    </xf>
    <xf numFmtId="0" fontId="7" fillId="0" borderId="11" xfId="0" applyFont="1" applyBorder="1" applyAlignment="1">
      <alignment vertical="top" wrapText="1"/>
    </xf>
    <xf numFmtId="0" fontId="9" fillId="0" borderId="1" xfId="0" applyFont="1" applyBorder="1" applyAlignment="1">
      <alignment horizontal="center" vertical="top" wrapText="1" readingOrder="1"/>
    </xf>
    <xf numFmtId="0" fontId="12" fillId="0" borderId="7" xfId="0" applyFont="1" applyBorder="1" applyAlignment="1">
      <alignment vertical="top" wrapText="1"/>
    </xf>
    <xf numFmtId="0" fontId="12" fillId="0" borderId="3" xfId="0" applyFont="1" applyBorder="1" applyAlignment="1">
      <alignment vertical="top" wrapText="1"/>
    </xf>
    <xf numFmtId="0" fontId="12" fillId="0" borderId="6" xfId="0" applyFont="1" applyBorder="1" applyAlignment="1">
      <alignment vertical="top" wrapText="1"/>
    </xf>
    <xf numFmtId="0" fontId="9" fillId="0" borderId="6" xfId="0" applyFont="1" applyBorder="1" applyAlignment="1">
      <alignment horizontal="center" vertical="top" wrapText="1" readingOrder="1"/>
    </xf>
    <xf numFmtId="0" fontId="9" fillId="0" borderId="3" xfId="0" applyFont="1" applyBorder="1" applyAlignment="1">
      <alignment horizontal="center" vertical="top" wrapText="1" readingOrder="1"/>
    </xf>
    <xf numFmtId="0" fontId="9" fillId="0" borderId="11" xfId="0" applyFont="1" applyBorder="1" applyAlignment="1">
      <alignment horizontal="center" vertical="top" wrapText="1" readingOrder="1"/>
    </xf>
  </cellXfs>
  <cellStyles count="72">
    <cellStyle name="Comma" xfId="70" builtinId="3"/>
    <cellStyle name="Comma 2" xfId="1" xr:uid="{00000000-0005-0000-0000-000001000000}"/>
    <cellStyle name="Comma 2 2" xfId="2" xr:uid="{00000000-0005-0000-0000-000002000000}"/>
    <cellStyle name="Comma 2 2 2" xfId="3" xr:uid="{00000000-0005-0000-0000-000003000000}"/>
    <cellStyle name="Comma 2 2 2 2" xfId="23" xr:uid="{00000000-0005-0000-0000-000004000000}"/>
    <cellStyle name="Comma 2 2 2 3" xfId="41" xr:uid="{00000000-0005-0000-0000-000005000000}"/>
    <cellStyle name="Comma 2 2 2 4" xfId="56" xr:uid="{00000000-0005-0000-0000-000006000000}"/>
    <cellStyle name="Comma 2 2 3" xfId="22" xr:uid="{00000000-0005-0000-0000-000007000000}"/>
    <cellStyle name="Comma 2 2 3 2" xfId="38" xr:uid="{00000000-0005-0000-0000-000008000000}"/>
    <cellStyle name="Comma 2 3" xfId="21" xr:uid="{00000000-0005-0000-0000-000009000000}"/>
    <cellStyle name="Comma 2 4" xfId="40" xr:uid="{00000000-0005-0000-0000-00000A000000}"/>
    <cellStyle name="Comma 2 5" xfId="55" xr:uid="{00000000-0005-0000-0000-00000B000000}"/>
    <cellStyle name="Comma 3" xfId="4" xr:uid="{00000000-0005-0000-0000-00000C000000}"/>
    <cellStyle name="Comma 3 2" xfId="24" xr:uid="{00000000-0005-0000-0000-00000D000000}"/>
    <cellStyle name="Comma 3 2 2" xfId="5" xr:uid="{00000000-0005-0000-0000-00000E000000}"/>
    <cellStyle name="Comma 3 2 2 2" xfId="25" xr:uid="{00000000-0005-0000-0000-00000F000000}"/>
    <cellStyle name="Comma 3 2 2 3" xfId="43" xr:uid="{00000000-0005-0000-0000-000010000000}"/>
    <cellStyle name="Comma 3 2 2 4" xfId="58" xr:uid="{00000000-0005-0000-0000-000011000000}"/>
    <cellStyle name="Comma 3 3" xfId="42" xr:uid="{00000000-0005-0000-0000-000012000000}"/>
    <cellStyle name="Comma 3 4" xfId="57" xr:uid="{00000000-0005-0000-0000-000013000000}"/>
    <cellStyle name="Comma 4" xfId="6" xr:uid="{00000000-0005-0000-0000-000014000000}"/>
    <cellStyle name="Comma 4 2" xfId="26" xr:uid="{00000000-0005-0000-0000-000015000000}"/>
    <cellStyle name="Comma 4 3" xfId="44" xr:uid="{00000000-0005-0000-0000-000016000000}"/>
    <cellStyle name="Comma 4 4" xfId="59" xr:uid="{00000000-0005-0000-0000-000017000000}"/>
    <cellStyle name="Comma 5" xfId="7" xr:uid="{00000000-0005-0000-0000-000018000000}"/>
    <cellStyle name="Comma 5 2" xfId="27" xr:uid="{00000000-0005-0000-0000-000019000000}"/>
    <cellStyle name="Comma 5 2 2" xfId="39" xr:uid="{00000000-0005-0000-0000-00001A000000}"/>
    <cellStyle name="Comma 6" xfId="8" xr:uid="{00000000-0005-0000-0000-00001B000000}"/>
    <cellStyle name="Comma 6 2" xfId="28" xr:uid="{00000000-0005-0000-0000-00001C000000}"/>
    <cellStyle name="Comma 6 3" xfId="45" xr:uid="{00000000-0005-0000-0000-00001D000000}"/>
    <cellStyle name="Comma 6 4" xfId="60" xr:uid="{00000000-0005-0000-0000-00001E000000}"/>
    <cellStyle name="Currency" xfId="71" builtinId="4"/>
    <cellStyle name="Normal" xfId="0" builtinId="0"/>
    <cellStyle name="Normal 2" xfId="9" xr:uid="{00000000-0005-0000-0000-000021000000}"/>
    <cellStyle name="Normal 2 2" xfId="10" xr:uid="{00000000-0005-0000-0000-000022000000}"/>
    <cellStyle name="Normal 2 2 2" xfId="11" xr:uid="{00000000-0005-0000-0000-000023000000}"/>
    <cellStyle name="Normal 2 2 2 2" xfId="12" xr:uid="{00000000-0005-0000-0000-000024000000}"/>
    <cellStyle name="Normal 2 2 2 2 2" xfId="32" xr:uid="{00000000-0005-0000-0000-000025000000}"/>
    <cellStyle name="Normal 2 2 2 2 3" xfId="49" xr:uid="{00000000-0005-0000-0000-000026000000}"/>
    <cellStyle name="Normal 2 2 2 2 4" xfId="64" xr:uid="{00000000-0005-0000-0000-000027000000}"/>
    <cellStyle name="Normal 2 2 2 3" xfId="31" xr:uid="{00000000-0005-0000-0000-000028000000}"/>
    <cellStyle name="Normal 2 2 2 4" xfId="48" xr:uid="{00000000-0005-0000-0000-000029000000}"/>
    <cellStyle name="Normal 2 2 2 5" xfId="63" xr:uid="{00000000-0005-0000-0000-00002A000000}"/>
    <cellStyle name="Normal 2 2 3" xfId="30" xr:uid="{00000000-0005-0000-0000-00002B000000}"/>
    <cellStyle name="Normal 2 2 4" xfId="47" xr:uid="{00000000-0005-0000-0000-00002C000000}"/>
    <cellStyle name="Normal 2 2 5" xfId="62" xr:uid="{00000000-0005-0000-0000-00002D000000}"/>
    <cellStyle name="Normal 2 3" xfId="13" xr:uid="{00000000-0005-0000-0000-00002E000000}"/>
    <cellStyle name="Normal 2 4" xfId="29" xr:uid="{00000000-0005-0000-0000-00002F000000}"/>
    <cellStyle name="Normal 2 5" xfId="46" xr:uid="{00000000-0005-0000-0000-000030000000}"/>
    <cellStyle name="Normal 2 6" xfId="61" xr:uid="{00000000-0005-0000-0000-000031000000}"/>
    <cellStyle name="Normal 3" xfId="14" xr:uid="{00000000-0005-0000-0000-000032000000}"/>
    <cellStyle name="Normal 3 2" xfId="15" xr:uid="{00000000-0005-0000-0000-000033000000}"/>
    <cellStyle name="Normal 3 2 2" xfId="34" xr:uid="{00000000-0005-0000-0000-000034000000}"/>
    <cellStyle name="Normal 3 2 2 2 2" xfId="16" xr:uid="{00000000-0005-0000-0000-000035000000}"/>
    <cellStyle name="Normal 3 2 2 2 2 2" xfId="35" xr:uid="{00000000-0005-0000-0000-000036000000}"/>
    <cellStyle name="Normal 3 2 2 2 2 3" xfId="52" xr:uid="{00000000-0005-0000-0000-000037000000}"/>
    <cellStyle name="Normal 3 2 2 2 2 4" xfId="67" xr:uid="{00000000-0005-0000-0000-000038000000}"/>
    <cellStyle name="Normal 3 2 3" xfId="51" xr:uid="{00000000-0005-0000-0000-000039000000}"/>
    <cellStyle name="Normal 3 2 4" xfId="66" xr:uid="{00000000-0005-0000-0000-00003A000000}"/>
    <cellStyle name="Normal 3 3" xfId="33" xr:uid="{00000000-0005-0000-0000-00003B000000}"/>
    <cellStyle name="Normal 3 4" xfId="50" xr:uid="{00000000-0005-0000-0000-00003C000000}"/>
    <cellStyle name="Normal 3 5" xfId="65" xr:uid="{00000000-0005-0000-0000-00003D000000}"/>
    <cellStyle name="Normal 4" xfId="17" xr:uid="{00000000-0005-0000-0000-00003E000000}"/>
    <cellStyle name="Normal 5" xfId="18" xr:uid="{00000000-0005-0000-0000-00003F000000}"/>
    <cellStyle name="Normal 5 2" xfId="36" xr:uid="{00000000-0005-0000-0000-000040000000}"/>
    <cellStyle name="Normal 5 3" xfId="53" xr:uid="{00000000-0005-0000-0000-000041000000}"/>
    <cellStyle name="Normal 5 4" xfId="68" xr:uid="{00000000-0005-0000-0000-000042000000}"/>
    <cellStyle name="Normal 6" xfId="19" xr:uid="{00000000-0005-0000-0000-000043000000}"/>
    <cellStyle name="Normal 6 2" xfId="37" xr:uid="{00000000-0005-0000-0000-000044000000}"/>
    <cellStyle name="Normal 6 3" xfId="54" xr:uid="{00000000-0005-0000-0000-000045000000}"/>
    <cellStyle name="Normal 6 4" xfId="69" xr:uid="{00000000-0005-0000-0000-000046000000}"/>
    <cellStyle name="Normal 7" xfId="20" xr:uid="{00000000-0005-0000-0000-000047000000}"/>
  </cellStyles>
  <dxfs count="0"/>
  <tableStyles count="1" defaultTableStyle="TableStyleMedium2" defaultPivotStyle="PivotStyleLight16">
    <tableStyle name="Table Style 1" pivot="0" count="0" xr9:uid="{00000000-0011-0000-FFFF-FFFF00000000}"/>
  </tableStyles>
  <colors>
    <mruColors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2485159</xdr:colOff>
      <xdr:row>0</xdr:row>
      <xdr:rowOff>671079</xdr:rowOff>
    </xdr:from>
    <xdr:to>
      <xdr:col>9</xdr:col>
      <xdr:colOff>1175712</xdr:colOff>
      <xdr:row>2</xdr:row>
      <xdr:rowOff>83703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3945A60-F08C-4B53-87E5-9E1E84BBC96D}"/>
            </a:ext>
          </a:extLst>
        </xdr:cNvPr>
        <xdr:cNvSpPr txBox="1"/>
      </xdr:nvSpPr>
      <xdr:spPr>
        <a:xfrm>
          <a:off x="14286634" y="671079"/>
          <a:ext cx="1262303" cy="4032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2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DSR</a:t>
          </a:r>
          <a:r>
            <a:rPr lang="en-US" sz="1200" b="1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- 824 - 4</a:t>
          </a:r>
          <a:endParaRPr lang="en-US" sz="1200" b="1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 editAs="oneCell">
    <xdr:from>
      <xdr:col>8</xdr:col>
      <xdr:colOff>2047875</xdr:colOff>
      <xdr:row>0</xdr:row>
      <xdr:rowOff>63500</xdr:rowOff>
    </xdr:from>
    <xdr:to>
      <xdr:col>9</xdr:col>
      <xdr:colOff>981710</xdr:colOff>
      <xdr:row>0</xdr:row>
      <xdr:rowOff>619125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00F138D-F4CE-415C-AED9-F78F0FD8F2A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63500"/>
          <a:ext cx="1499235" cy="5556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2485159</xdr:colOff>
      <xdr:row>0</xdr:row>
      <xdr:rowOff>671079</xdr:rowOff>
    </xdr:from>
    <xdr:to>
      <xdr:col>9</xdr:col>
      <xdr:colOff>1175712</xdr:colOff>
      <xdr:row>2</xdr:row>
      <xdr:rowOff>83703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FC72794-EAC8-460A-BA9E-93EDCE495CFA}"/>
            </a:ext>
          </a:extLst>
        </xdr:cNvPr>
        <xdr:cNvSpPr txBox="1"/>
      </xdr:nvSpPr>
      <xdr:spPr>
        <a:xfrm>
          <a:off x="14286634" y="671079"/>
          <a:ext cx="1262303" cy="4032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2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DSR</a:t>
          </a:r>
          <a:r>
            <a:rPr lang="en-US" sz="1200" b="1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- 824 - 4</a:t>
          </a:r>
          <a:endParaRPr lang="en-US" sz="1200" b="1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 editAs="oneCell">
    <xdr:from>
      <xdr:col>8</xdr:col>
      <xdr:colOff>2047875</xdr:colOff>
      <xdr:row>0</xdr:row>
      <xdr:rowOff>63500</xdr:rowOff>
    </xdr:from>
    <xdr:to>
      <xdr:col>9</xdr:col>
      <xdr:colOff>978535</xdr:colOff>
      <xdr:row>0</xdr:row>
      <xdr:rowOff>615950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38F13D-CCF4-4CFE-A3FD-178FD5CA97F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63500"/>
          <a:ext cx="1499235" cy="5556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2485159</xdr:colOff>
      <xdr:row>0</xdr:row>
      <xdr:rowOff>671079</xdr:rowOff>
    </xdr:from>
    <xdr:to>
      <xdr:col>9</xdr:col>
      <xdr:colOff>1175712</xdr:colOff>
      <xdr:row>2</xdr:row>
      <xdr:rowOff>83703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7DFDBA6-D6F5-492A-838B-F76A6FCE51BA}"/>
            </a:ext>
          </a:extLst>
        </xdr:cNvPr>
        <xdr:cNvSpPr txBox="1"/>
      </xdr:nvSpPr>
      <xdr:spPr>
        <a:xfrm>
          <a:off x="14286634" y="671079"/>
          <a:ext cx="1262303" cy="4032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2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DSR</a:t>
          </a:r>
          <a:r>
            <a:rPr lang="en-US" sz="1200" b="1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- 824 - 4</a:t>
          </a:r>
          <a:endParaRPr lang="en-US" sz="1200" b="1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 editAs="oneCell">
    <xdr:from>
      <xdr:col>8</xdr:col>
      <xdr:colOff>2047875</xdr:colOff>
      <xdr:row>0</xdr:row>
      <xdr:rowOff>63500</xdr:rowOff>
    </xdr:from>
    <xdr:to>
      <xdr:col>9</xdr:col>
      <xdr:colOff>978535</xdr:colOff>
      <xdr:row>0</xdr:row>
      <xdr:rowOff>615950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C24388-71AE-42C7-9A23-445529D86B0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63500"/>
          <a:ext cx="1499235" cy="5556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2485159</xdr:colOff>
      <xdr:row>0</xdr:row>
      <xdr:rowOff>671079</xdr:rowOff>
    </xdr:from>
    <xdr:to>
      <xdr:col>9</xdr:col>
      <xdr:colOff>1175712</xdr:colOff>
      <xdr:row>2</xdr:row>
      <xdr:rowOff>83703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1F273D0-277F-4BBF-9BD7-C70192171545}"/>
            </a:ext>
          </a:extLst>
        </xdr:cNvPr>
        <xdr:cNvSpPr txBox="1"/>
      </xdr:nvSpPr>
      <xdr:spPr>
        <a:xfrm>
          <a:off x="14286634" y="671079"/>
          <a:ext cx="1262303" cy="4032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2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DSR</a:t>
          </a:r>
          <a:r>
            <a:rPr lang="en-US" sz="1200" b="1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- 824 - 4</a:t>
          </a:r>
          <a:endParaRPr lang="en-US" sz="1200" b="1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 editAs="oneCell">
    <xdr:from>
      <xdr:col>8</xdr:col>
      <xdr:colOff>2047875</xdr:colOff>
      <xdr:row>0</xdr:row>
      <xdr:rowOff>63500</xdr:rowOff>
    </xdr:from>
    <xdr:to>
      <xdr:col>9</xdr:col>
      <xdr:colOff>978535</xdr:colOff>
      <xdr:row>0</xdr:row>
      <xdr:rowOff>615950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4569186-3FBE-4BEC-98C0-4F35082D63F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63500"/>
          <a:ext cx="1499235" cy="5556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2485159</xdr:colOff>
      <xdr:row>0</xdr:row>
      <xdr:rowOff>671079</xdr:rowOff>
    </xdr:from>
    <xdr:to>
      <xdr:col>9</xdr:col>
      <xdr:colOff>1175712</xdr:colOff>
      <xdr:row>2</xdr:row>
      <xdr:rowOff>83703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4537835-8452-4282-BA71-21B8D39BD7CA}"/>
            </a:ext>
          </a:extLst>
        </xdr:cNvPr>
        <xdr:cNvSpPr txBox="1"/>
      </xdr:nvSpPr>
      <xdr:spPr>
        <a:xfrm>
          <a:off x="14286634" y="671079"/>
          <a:ext cx="1262303" cy="4032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2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DSR</a:t>
          </a:r>
          <a:r>
            <a:rPr lang="en-US" sz="1200" b="1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- 824 - 4</a:t>
          </a:r>
          <a:endParaRPr lang="en-US" sz="1200" b="1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 editAs="oneCell">
    <xdr:from>
      <xdr:col>8</xdr:col>
      <xdr:colOff>2047875</xdr:colOff>
      <xdr:row>0</xdr:row>
      <xdr:rowOff>63500</xdr:rowOff>
    </xdr:from>
    <xdr:to>
      <xdr:col>9</xdr:col>
      <xdr:colOff>978535</xdr:colOff>
      <xdr:row>0</xdr:row>
      <xdr:rowOff>615950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62CF24F-3359-47A3-8FCD-241B30A7876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63500"/>
          <a:ext cx="1499235" cy="5556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2485159</xdr:colOff>
      <xdr:row>0</xdr:row>
      <xdr:rowOff>671079</xdr:rowOff>
    </xdr:from>
    <xdr:to>
      <xdr:col>9</xdr:col>
      <xdr:colOff>1175712</xdr:colOff>
      <xdr:row>2</xdr:row>
      <xdr:rowOff>83703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FD9038E-D27B-4832-A329-F95B558D20F5}"/>
            </a:ext>
          </a:extLst>
        </xdr:cNvPr>
        <xdr:cNvSpPr txBox="1"/>
      </xdr:nvSpPr>
      <xdr:spPr>
        <a:xfrm>
          <a:off x="14286634" y="671079"/>
          <a:ext cx="1262303" cy="4032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2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DSR</a:t>
          </a:r>
          <a:r>
            <a:rPr lang="en-US" sz="1200" b="1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- 824 - 4</a:t>
          </a:r>
          <a:endParaRPr lang="en-US" sz="1200" b="1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 editAs="oneCell">
    <xdr:from>
      <xdr:col>8</xdr:col>
      <xdr:colOff>2047875</xdr:colOff>
      <xdr:row>0</xdr:row>
      <xdr:rowOff>63500</xdr:rowOff>
    </xdr:from>
    <xdr:to>
      <xdr:col>9</xdr:col>
      <xdr:colOff>978535</xdr:colOff>
      <xdr:row>0</xdr:row>
      <xdr:rowOff>615950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9E8D679-4326-40F4-89F9-2D8C5439E49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63500"/>
          <a:ext cx="1499235" cy="5556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2485159</xdr:colOff>
      <xdr:row>0</xdr:row>
      <xdr:rowOff>671079</xdr:rowOff>
    </xdr:from>
    <xdr:to>
      <xdr:col>9</xdr:col>
      <xdr:colOff>1175712</xdr:colOff>
      <xdr:row>2</xdr:row>
      <xdr:rowOff>83703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E254AD5-E892-4483-9014-ACCF015FE057}"/>
            </a:ext>
          </a:extLst>
        </xdr:cNvPr>
        <xdr:cNvSpPr txBox="1"/>
      </xdr:nvSpPr>
      <xdr:spPr>
        <a:xfrm>
          <a:off x="14286634" y="671079"/>
          <a:ext cx="1262303" cy="4032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2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DSR</a:t>
          </a:r>
          <a:r>
            <a:rPr lang="en-US" sz="1200" b="1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- 824 - 4</a:t>
          </a:r>
          <a:endParaRPr lang="en-US" sz="1200" b="1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 editAs="oneCell">
    <xdr:from>
      <xdr:col>8</xdr:col>
      <xdr:colOff>2047875</xdr:colOff>
      <xdr:row>0</xdr:row>
      <xdr:rowOff>63500</xdr:rowOff>
    </xdr:from>
    <xdr:to>
      <xdr:col>9</xdr:col>
      <xdr:colOff>978535</xdr:colOff>
      <xdr:row>0</xdr:row>
      <xdr:rowOff>615950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2F39D9C-95FD-4CA7-8CAF-F74E5950213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63500"/>
          <a:ext cx="1499235" cy="5556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2485159</xdr:colOff>
      <xdr:row>0</xdr:row>
      <xdr:rowOff>671079</xdr:rowOff>
    </xdr:from>
    <xdr:to>
      <xdr:col>9</xdr:col>
      <xdr:colOff>1175712</xdr:colOff>
      <xdr:row>2</xdr:row>
      <xdr:rowOff>83703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645F83E-3EC0-4192-807B-FAA02F9011E0}"/>
            </a:ext>
          </a:extLst>
        </xdr:cNvPr>
        <xdr:cNvSpPr txBox="1"/>
      </xdr:nvSpPr>
      <xdr:spPr>
        <a:xfrm>
          <a:off x="14286634" y="671079"/>
          <a:ext cx="1262303" cy="4032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2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DSR</a:t>
          </a:r>
          <a:r>
            <a:rPr lang="en-US" sz="1200" b="1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- 824 - 4</a:t>
          </a:r>
          <a:endParaRPr lang="en-US" sz="1200" b="1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 editAs="oneCell">
    <xdr:from>
      <xdr:col>8</xdr:col>
      <xdr:colOff>2047875</xdr:colOff>
      <xdr:row>0</xdr:row>
      <xdr:rowOff>63500</xdr:rowOff>
    </xdr:from>
    <xdr:to>
      <xdr:col>9</xdr:col>
      <xdr:colOff>978535</xdr:colOff>
      <xdr:row>0</xdr:row>
      <xdr:rowOff>615950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3885F2B-B3FE-40EA-A07C-CBC333DE77D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63500"/>
          <a:ext cx="1499235" cy="5556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2485159</xdr:colOff>
      <xdr:row>0</xdr:row>
      <xdr:rowOff>671079</xdr:rowOff>
    </xdr:from>
    <xdr:to>
      <xdr:col>9</xdr:col>
      <xdr:colOff>1175712</xdr:colOff>
      <xdr:row>2</xdr:row>
      <xdr:rowOff>83703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7397605-10E2-49FE-B9A8-F8D589C6F6E3}"/>
            </a:ext>
          </a:extLst>
        </xdr:cNvPr>
        <xdr:cNvSpPr txBox="1"/>
      </xdr:nvSpPr>
      <xdr:spPr>
        <a:xfrm>
          <a:off x="14286634" y="671079"/>
          <a:ext cx="1262303" cy="4032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2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DSR</a:t>
          </a:r>
          <a:r>
            <a:rPr lang="en-US" sz="1200" b="1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- 824 - 4</a:t>
          </a:r>
          <a:endParaRPr lang="en-US" sz="1200" b="1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 editAs="oneCell">
    <xdr:from>
      <xdr:col>8</xdr:col>
      <xdr:colOff>2047875</xdr:colOff>
      <xdr:row>0</xdr:row>
      <xdr:rowOff>63500</xdr:rowOff>
    </xdr:from>
    <xdr:to>
      <xdr:col>9</xdr:col>
      <xdr:colOff>978535</xdr:colOff>
      <xdr:row>0</xdr:row>
      <xdr:rowOff>615950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3AED087-BA93-40CE-8FC2-7A715EAB4FA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63500"/>
          <a:ext cx="1499235" cy="5556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2485159</xdr:colOff>
      <xdr:row>0</xdr:row>
      <xdr:rowOff>671079</xdr:rowOff>
    </xdr:from>
    <xdr:to>
      <xdr:col>9</xdr:col>
      <xdr:colOff>1175712</xdr:colOff>
      <xdr:row>2</xdr:row>
      <xdr:rowOff>83703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9277BA7-A0D7-4752-BE71-816EF8212F8C}"/>
            </a:ext>
          </a:extLst>
        </xdr:cNvPr>
        <xdr:cNvSpPr txBox="1"/>
      </xdr:nvSpPr>
      <xdr:spPr>
        <a:xfrm>
          <a:off x="14286634" y="671079"/>
          <a:ext cx="1262303" cy="4032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2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DSR</a:t>
          </a:r>
          <a:r>
            <a:rPr lang="en-US" sz="1200" b="1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- 824 - 4</a:t>
          </a:r>
          <a:endParaRPr lang="en-US" sz="1200" b="1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 editAs="oneCell">
    <xdr:from>
      <xdr:col>8</xdr:col>
      <xdr:colOff>2047875</xdr:colOff>
      <xdr:row>0</xdr:row>
      <xdr:rowOff>63500</xdr:rowOff>
    </xdr:from>
    <xdr:to>
      <xdr:col>9</xdr:col>
      <xdr:colOff>978535</xdr:colOff>
      <xdr:row>0</xdr:row>
      <xdr:rowOff>615950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8CC027B-A8FA-4D7D-95FD-E1D0658BBC0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63500"/>
          <a:ext cx="1499235" cy="5556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2485159</xdr:colOff>
      <xdr:row>0</xdr:row>
      <xdr:rowOff>671079</xdr:rowOff>
    </xdr:from>
    <xdr:to>
      <xdr:col>9</xdr:col>
      <xdr:colOff>1175712</xdr:colOff>
      <xdr:row>2</xdr:row>
      <xdr:rowOff>83703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D8DDA31-E3B6-4DB4-8498-BE4648269708}"/>
            </a:ext>
          </a:extLst>
        </xdr:cNvPr>
        <xdr:cNvSpPr txBox="1"/>
      </xdr:nvSpPr>
      <xdr:spPr>
        <a:xfrm>
          <a:off x="14286634" y="671079"/>
          <a:ext cx="1262303" cy="4032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2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DSR</a:t>
          </a:r>
          <a:r>
            <a:rPr lang="en-US" sz="1200" b="1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- 824 - 4</a:t>
          </a:r>
          <a:endParaRPr lang="en-US" sz="1200" b="1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 editAs="oneCell">
    <xdr:from>
      <xdr:col>8</xdr:col>
      <xdr:colOff>2047875</xdr:colOff>
      <xdr:row>0</xdr:row>
      <xdr:rowOff>63500</xdr:rowOff>
    </xdr:from>
    <xdr:to>
      <xdr:col>9</xdr:col>
      <xdr:colOff>978535</xdr:colOff>
      <xdr:row>0</xdr:row>
      <xdr:rowOff>615950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A83F28D-37FF-42C3-9D0C-7B002CA2DCD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63500"/>
          <a:ext cx="1499235" cy="5556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2485159</xdr:colOff>
      <xdr:row>0</xdr:row>
      <xdr:rowOff>671079</xdr:rowOff>
    </xdr:from>
    <xdr:to>
      <xdr:col>9</xdr:col>
      <xdr:colOff>1175712</xdr:colOff>
      <xdr:row>2</xdr:row>
      <xdr:rowOff>83703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2B269BC-F77A-4F78-835C-BD08E73BF59A}"/>
            </a:ext>
          </a:extLst>
        </xdr:cNvPr>
        <xdr:cNvSpPr txBox="1"/>
      </xdr:nvSpPr>
      <xdr:spPr>
        <a:xfrm>
          <a:off x="14286634" y="671079"/>
          <a:ext cx="1262303" cy="4032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2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DSR</a:t>
          </a:r>
          <a:r>
            <a:rPr lang="en-US" sz="1200" b="1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- 824 - 4</a:t>
          </a:r>
          <a:endParaRPr lang="en-US" sz="1200" b="1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 editAs="oneCell">
    <xdr:from>
      <xdr:col>8</xdr:col>
      <xdr:colOff>2047875</xdr:colOff>
      <xdr:row>0</xdr:row>
      <xdr:rowOff>63500</xdr:rowOff>
    </xdr:from>
    <xdr:to>
      <xdr:col>9</xdr:col>
      <xdr:colOff>978535</xdr:colOff>
      <xdr:row>0</xdr:row>
      <xdr:rowOff>615950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49312A7-066C-4312-B322-9098ED67124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63500"/>
          <a:ext cx="1499235" cy="5556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2485159</xdr:colOff>
      <xdr:row>0</xdr:row>
      <xdr:rowOff>671079</xdr:rowOff>
    </xdr:from>
    <xdr:to>
      <xdr:col>9</xdr:col>
      <xdr:colOff>1175712</xdr:colOff>
      <xdr:row>2</xdr:row>
      <xdr:rowOff>83703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D8DF83C-E07C-4C40-9668-B6D35C4AFAA6}"/>
            </a:ext>
          </a:extLst>
        </xdr:cNvPr>
        <xdr:cNvSpPr txBox="1"/>
      </xdr:nvSpPr>
      <xdr:spPr>
        <a:xfrm>
          <a:off x="14286634" y="671079"/>
          <a:ext cx="1262303" cy="4032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2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DSR</a:t>
          </a:r>
          <a:r>
            <a:rPr lang="en-US" sz="1200" b="1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- 824 - 4</a:t>
          </a:r>
          <a:endParaRPr lang="en-US" sz="1200" b="1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 editAs="oneCell">
    <xdr:from>
      <xdr:col>8</xdr:col>
      <xdr:colOff>2047875</xdr:colOff>
      <xdr:row>0</xdr:row>
      <xdr:rowOff>63500</xdr:rowOff>
    </xdr:from>
    <xdr:to>
      <xdr:col>9</xdr:col>
      <xdr:colOff>978535</xdr:colOff>
      <xdr:row>0</xdr:row>
      <xdr:rowOff>615950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B384EF-A3D1-4B28-951B-3945103B7E9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63500"/>
          <a:ext cx="1499235" cy="5556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2485159</xdr:colOff>
      <xdr:row>0</xdr:row>
      <xdr:rowOff>671079</xdr:rowOff>
    </xdr:from>
    <xdr:to>
      <xdr:col>9</xdr:col>
      <xdr:colOff>1175712</xdr:colOff>
      <xdr:row>2</xdr:row>
      <xdr:rowOff>83703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2BBC2E0-F7FA-438F-AD6D-FA9DD548BD37}"/>
            </a:ext>
          </a:extLst>
        </xdr:cNvPr>
        <xdr:cNvSpPr txBox="1"/>
      </xdr:nvSpPr>
      <xdr:spPr>
        <a:xfrm>
          <a:off x="14286634" y="671079"/>
          <a:ext cx="1262303" cy="4032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2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DSR</a:t>
          </a:r>
          <a:r>
            <a:rPr lang="en-US" sz="1200" b="1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- 824 - 4</a:t>
          </a:r>
          <a:endParaRPr lang="en-US" sz="1200" b="1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 editAs="oneCell">
    <xdr:from>
      <xdr:col>8</xdr:col>
      <xdr:colOff>2047875</xdr:colOff>
      <xdr:row>0</xdr:row>
      <xdr:rowOff>63500</xdr:rowOff>
    </xdr:from>
    <xdr:to>
      <xdr:col>9</xdr:col>
      <xdr:colOff>978535</xdr:colOff>
      <xdr:row>0</xdr:row>
      <xdr:rowOff>615950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BA879C-F602-4C27-B884-C1889CF92E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63500"/>
          <a:ext cx="1499235" cy="5556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2485159</xdr:colOff>
      <xdr:row>0</xdr:row>
      <xdr:rowOff>671079</xdr:rowOff>
    </xdr:from>
    <xdr:to>
      <xdr:col>9</xdr:col>
      <xdr:colOff>1175712</xdr:colOff>
      <xdr:row>2</xdr:row>
      <xdr:rowOff>83703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A85E01C-0A27-43C5-B416-678AAECE8030}"/>
            </a:ext>
          </a:extLst>
        </xdr:cNvPr>
        <xdr:cNvSpPr txBox="1"/>
      </xdr:nvSpPr>
      <xdr:spPr>
        <a:xfrm>
          <a:off x="14286634" y="671079"/>
          <a:ext cx="1262303" cy="4032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2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DSR</a:t>
          </a:r>
          <a:r>
            <a:rPr lang="en-US" sz="1200" b="1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- 824 - 4</a:t>
          </a:r>
          <a:endParaRPr lang="en-US" sz="1200" b="1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 editAs="oneCell">
    <xdr:from>
      <xdr:col>8</xdr:col>
      <xdr:colOff>2047875</xdr:colOff>
      <xdr:row>0</xdr:row>
      <xdr:rowOff>63500</xdr:rowOff>
    </xdr:from>
    <xdr:to>
      <xdr:col>9</xdr:col>
      <xdr:colOff>978535</xdr:colOff>
      <xdr:row>0</xdr:row>
      <xdr:rowOff>615950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55DF576-0067-44EC-8A30-E1BF6DB3061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63500"/>
          <a:ext cx="1499235" cy="5556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2485159</xdr:colOff>
      <xdr:row>0</xdr:row>
      <xdr:rowOff>671079</xdr:rowOff>
    </xdr:from>
    <xdr:to>
      <xdr:col>9</xdr:col>
      <xdr:colOff>1175712</xdr:colOff>
      <xdr:row>2</xdr:row>
      <xdr:rowOff>83703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9DE7844-5016-4B16-A6B9-D06F5C4B5E93}"/>
            </a:ext>
          </a:extLst>
        </xdr:cNvPr>
        <xdr:cNvSpPr txBox="1"/>
      </xdr:nvSpPr>
      <xdr:spPr>
        <a:xfrm>
          <a:off x="14286634" y="671079"/>
          <a:ext cx="1262303" cy="4032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2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DSR</a:t>
          </a:r>
          <a:r>
            <a:rPr lang="en-US" sz="1200" b="1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- 824 - 4</a:t>
          </a:r>
          <a:endParaRPr lang="en-US" sz="1200" b="1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 editAs="oneCell">
    <xdr:from>
      <xdr:col>8</xdr:col>
      <xdr:colOff>2047875</xdr:colOff>
      <xdr:row>0</xdr:row>
      <xdr:rowOff>63500</xdr:rowOff>
    </xdr:from>
    <xdr:to>
      <xdr:col>9</xdr:col>
      <xdr:colOff>978535</xdr:colOff>
      <xdr:row>0</xdr:row>
      <xdr:rowOff>615950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F25AFC-3511-4BB8-9FC9-4CE201E965A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63500"/>
          <a:ext cx="1499235" cy="5556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2485159</xdr:colOff>
      <xdr:row>0</xdr:row>
      <xdr:rowOff>671079</xdr:rowOff>
    </xdr:from>
    <xdr:to>
      <xdr:col>9</xdr:col>
      <xdr:colOff>1175712</xdr:colOff>
      <xdr:row>2</xdr:row>
      <xdr:rowOff>83703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ABB954D-261E-4DEE-94E3-D18724C8943D}"/>
            </a:ext>
          </a:extLst>
        </xdr:cNvPr>
        <xdr:cNvSpPr txBox="1"/>
      </xdr:nvSpPr>
      <xdr:spPr>
        <a:xfrm>
          <a:off x="14286634" y="671079"/>
          <a:ext cx="1262303" cy="4032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2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DSR</a:t>
          </a:r>
          <a:r>
            <a:rPr lang="en-US" sz="1200" b="1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- 824 - 4</a:t>
          </a:r>
          <a:endParaRPr lang="en-US" sz="1200" b="1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 editAs="oneCell">
    <xdr:from>
      <xdr:col>8</xdr:col>
      <xdr:colOff>2047875</xdr:colOff>
      <xdr:row>0</xdr:row>
      <xdr:rowOff>63500</xdr:rowOff>
    </xdr:from>
    <xdr:to>
      <xdr:col>9</xdr:col>
      <xdr:colOff>978535</xdr:colOff>
      <xdr:row>0</xdr:row>
      <xdr:rowOff>615950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E3EA885-0E55-4085-AA49-35B9E458FA3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63500"/>
          <a:ext cx="1499235" cy="5556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2485159</xdr:colOff>
      <xdr:row>0</xdr:row>
      <xdr:rowOff>671079</xdr:rowOff>
    </xdr:from>
    <xdr:to>
      <xdr:col>9</xdr:col>
      <xdr:colOff>1175712</xdr:colOff>
      <xdr:row>2</xdr:row>
      <xdr:rowOff>83703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7CD0EAC-89EF-41B0-91A3-4662161333D1}"/>
            </a:ext>
          </a:extLst>
        </xdr:cNvPr>
        <xdr:cNvSpPr txBox="1"/>
      </xdr:nvSpPr>
      <xdr:spPr>
        <a:xfrm>
          <a:off x="14286634" y="671079"/>
          <a:ext cx="1262303" cy="4032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2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DSR</a:t>
          </a:r>
          <a:r>
            <a:rPr lang="en-US" sz="1200" b="1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- 824 - 4</a:t>
          </a:r>
          <a:endParaRPr lang="en-US" sz="1200" b="1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 editAs="oneCell">
    <xdr:from>
      <xdr:col>8</xdr:col>
      <xdr:colOff>2047875</xdr:colOff>
      <xdr:row>0</xdr:row>
      <xdr:rowOff>63500</xdr:rowOff>
    </xdr:from>
    <xdr:to>
      <xdr:col>9</xdr:col>
      <xdr:colOff>978535</xdr:colOff>
      <xdr:row>0</xdr:row>
      <xdr:rowOff>615950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161E09-7344-453A-8FF3-37BDF4AB357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63500"/>
          <a:ext cx="1499235" cy="5556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2485159</xdr:colOff>
      <xdr:row>0</xdr:row>
      <xdr:rowOff>671079</xdr:rowOff>
    </xdr:from>
    <xdr:to>
      <xdr:col>9</xdr:col>
      <xdr:colOff>1175712</xdr:colOff>
      <xdr:row>2</xdr:row>
      <xdr:rowOff>83703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D019451-F050-4511-B1E4-D2BB1959BCEE}"/>
            </a:ext>
          </a:extLst>
        </xdr:cNvPr>
        <xdr:cNvSpPr txBox="1"/>
      </xdr:nvSpPr>
      <xdr:spPr>
        <a:xfrm>
          <a:off x="14286634" y="671079"/>
          <a:ext cx="1262303" cy="4032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2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DSR</a:t>
          </a:r>
          <a:r>
            <a:rPr lang="en-US" sz="1200" b="1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- 824 - 4</a:t>
          </a:r>
          <a:endParaRPr lang="en-US" sz="1200" b="1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 editAs="oneCell">
    <xdr:from>
      <xdr:col>8</xdr:col>
      <xdr:colOff>2047875</xdr:colOff>
      <xdr:row>0</xdr:row>
      <xdr:rowOff>63500</xdr:rowOff>
    </xdr:from>
    <xdr:to>
      <xdr:col>9</xdr:col>
      <xdr:colOff>978535</xdr:colOff>
      <xdr:row>0</xdr:row>
      <xdr:rowOff>615950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2D633AB-68E3-40CD-A63A-203D0B6B3C2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63500"/>
          <a:ext cx="1499235" cy="5556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2485159</xdr:colOff>
      <xdr:row>0</xdr:row>
      <xdr:rowOff>671079</xdr:rowOff>
    </xdr:from>
    <xdr:to>
      <xdr:col>9</xdr:col>
      <xdr:colOff>1175712</xdr:colOff>
      <xdr:row>2</xdr:row>
      <xdr:rowOff>83703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02B3BC1-78BC-4917-B6B7-2C00ECC22808}"/>
            </a:ext>
          </a:extLst>
        </xdr:cNvPr>
        <xdr:cNvSpPr txBox="1"/>
      </xdr:nvSpPr>
      <xdr:spPr>
        <a:xfrm>
          <a:off x="14286634" y="671079"/>
          <a:ext cx="1262303" cy="4032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2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DSR</a:t>
          </a:r>
          <a:r>
            <a:rPr lang="en-US" sz="1200" b="1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- 824 - 4</a:t>
          </a:r>
          <a:endParaRPr lang="en-US" sz="1200" b="1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 editAs="oneCell">
    <xdr:from>
      <xdr:col>8</xdr:col>
      <xdr:colOff>2047875</xdr:colOff>
      <xdr:row>0</xdr:row>
      <xdr:rowOff>63500</xdr:rowOff>
    </xdr:from>
    <xdr:to>
      <xdr:col>9</xdr:col>
      <xdr:colOff>978535</xdr:colOff>
      <xdr:row>0</xdr:row>
      <xdr:rowOff>615950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03CA4E-9644-44C8-95E3-DCD068F2E59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63500"/>
          <a:ext cx="1499235" cy="5556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2485159</xdr:colOff>
      <xdr:row>0</xdr:row>
      <xdr:rowOff>671079</xdr:rowOff>
    </xdr:from>
    <xdr:to>
      <xdr:col>9</xdr:col>
      <xdr:colOff>1175712</xdr:colOff>
      <xdr:row>2</xdr:row>
      <xdr:rowOff>83703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6D17671-07A1-4E3C-8D32-AD83DB50EE27}"/>
            </a:ext>
          </a:extLst>
        </xdr:cNvPr>
        <xdr:cNvSpPr txBox="1"/>
      </xdr:nvSpPr>
      <xdr:spPr>
        <a:xfrm>
          <a:off x="14286634" y="671079"/>
          <a:ext cx="1262303" cy="4032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2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DSR</a:t>
          </a:r>
          <a:r>
            <a:rPr lang="en-US" sz="1200" b="1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- 824 - 4</a:t>
          </a:r>
          <a:endParaRPr lang="en-US" sz="1200" b="1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 editAs="oneCell">
    <xdr:from>
      <xdr:col>8</xdr:col>
      <xdr:colOff>2047875</xdr:colOff>
      <xdr:row>0</xdr:row>
      <xdr:rowOff>63500</xdr:rowOff>
    </xdr:from>
    <xdr:to>
      <xdr:col>9</xdr:col>
      <xdr:colOff>978535</xdr:colOff>
      <xdr:row>0</xdr:row>
      <xdr:rowOff>615950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D120E59-8FFF-4AE0-8D19-C02B524E92A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63500"/>
          <a:ext cx="1499235" cy="5556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2485159</xdr:colOff>
      <xdr:row>0</xdr:row>
      <xdr:rowOff>671079</xdr:rowOff>
    </xdr:from>
    <xdr:to>
      <xdr:col>9</xdr:col>
      <xdr:colOff>1175712</xdr:colOff>
      <xdr:row>2</xdr:row>
      <xdr:rowOff>83703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43AF975-2FBA-42A4-BCAA-C04394757DD8}"/>
            </a:ext>
          </a:extLst>
        </xdr:cNvPr>
        <xdr:cNvSpPr txBox="1"/>
      </xdr:nvSpPr>
      <xdr:spPr>
        <a:xfrm>
          <a:off x="14286634" y="671079"/>
          <a:ext cx="1262303" cy="4032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2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DSR</a:t>
          </a:r>
          <a:r>
            <a:rPr lang="en-US" sz="1200" b="1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- 824 - 4</a:t>
          </a:r>
          <a:endParaRPr lang="en-US" sz="1200" b="1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 editAs="oneCell">
    <xdr:from>
      <xdr:col>8</xdr:col>
      <xdr:colOff>2047875</xdr:colOff>
      <xdr:row>0</xdr:row>
      <xdr:rowOff>63500</xdr:rowOff>
    </xdr:from>
    <xdr:to>
      <xdr:col>9</xdr:col>
      <xdr:colOff>978535</xdr:colOff>
      <xdr:row>0</xdr:row>
      <xdr:rowOff>615950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6E13E4C-F217-427A-8358-9FDAEEC1ED0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849350" y="63500"/>
          <a:ext cx="1499235" cy="5556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23086-D213-4D9A-A7CE-39B87C12DC33}">
  <sheetPr codeName="Sheet1">
    <pageSetUpPr fitToPage="1"/>
  </sheetPr>
  <dimension ref="A1:K50"/>
  <sheetViews>
    <sheetView showGridLines="0" tabSelected="1" view="pageBreakPreview" topLeftCell="A20" zoomScale="71" zoomScaleNormal="55" zoomScaleSheetLayoutView="71" zoomScalePageLayoutView="10" workbookViewId="0">
      <selection activeCell="A53" sqref="A50:XFD53"/>
    </sheetView>
  </sheetViews>
  <sheetFormatPr defaultColWidth="9" defaultRowHeight="14.5"/>
  <cols>
    <col min="1" max="1" width="15.26953125" customWidth="1"/>
    <col min="2" max="2" width="2.90625" customWidth="1"/>
    <col min="3" max="3" width="18.7265625" customWidth="1"/>
    <col min="4" max="4" width="29.7265625" customWidth="1"/>
    <col min="5" max="5" width="44.08984375" customWidth="1"/>
    <col min="6" max="6" width="22.26953125" customWidth="1"/>
    <col min="7" max="7" width="21" customWidth="1"/>
    <col min="8" max="8" width="23" style="1" customWidth="1"/>
    <col min="9" max="9" width="38.6328125" customWidth="1"/>
    <col min="10" max="10" width="20.36328125" customWidth="1"/>
    <col min="14" max="14" width="8.7265625" customWidth="1"/>
    <col min="15" max="15" width="8.08984375" customWidth="1"/>
    <col min="17" max="17" width="9.26953125" customWidth="1"/>
    <col min="21" max="21" width="9.08984375" customWidth="1"/>
  </cols>
  <sheetData>
    <row r="1" spans="1:10" ht="59.25" customHeight="1">
      <c r="A1" s="75" t="s">
        <v>0</v>
      </c>
      <c r="B1" s="75"/>
      <c r="C1" s="75"/>
      <c r="D1" s="75"/>
      <c r="E1" s="75"/>
      <c r="F1" s="75"/>
      <c r="G1" s="75"/>
      <c r="H1" s="75"/>
      <c r="I1" s="75"/>
      <c r="J1" s="75"/>
    </row>
    <row r="2" spans="1:10" ht="18.75" customHeight="1">
      <c r="A2" s="75"/>
      <c r="B2" s="75"/>
      <c r="C2" s="75"/>
      <c r="D2" s="75"/>
      <c r="E2" s="75"/>
      <c r="F2" s="75"/>
      <c r="G2" s="75"/>
      <c r="H2" s="75"/>
      <c r="I2" s="75"/>
      <c r="J2" s="75"/>
    </row>
    <row r="3" spans="1:10" ht="33" customHeight="1">
      <c r="A3" s="76" t="s">
        <v>242</v>
      </c>
      <c r="B3" s="77"/>
      <c r="C3" s="77"/>
      <c r="D3" s="77"/>
      <c r="E3" s="77"/>
      <c r="F3" s="77"/>
      <c r="G3" s="77"/>
      <c r="H3" s="77"/>
      <c r="I3" s="77"/>
      <c r="J3" s="77"/>
    </row>
    <row r="4" spans="1:10" ht="9.75" customHeight="1">
      <c r="A4" s="2"/>
      <c r="B4" s="2"/>
      <c r="C4" s="2"/>
      <c r="D4" s="2"/>
      <c r="E4" s="2"/>
      <c r="F4" s="2"/>
      <c r="G4" s="2"/>
      <c r="H4" s="3"/>
      <c r="I4" s="2" t="s">
        <v>1</v>
      </c>
      <c r="J4" s="2"/>
    </row>
    <row r="5" spans="1:10" ht="43">
      <c r="A5" s="78" t="s">
        <v>2</v>
      </c>
      <c r="B5" s="79"/>
      <c r="C5" s="4" t="s">
        <v>3</v>
      </c>
      <c r="D5" s="4"/>
      <c r="E5" s="4" t="s">
        <v>4</v>
      </c>
      <c r="F5" s="4" t="s">
        <v>5</v>
      </c>
      <c r="G5" s="4" t="s">
        <v>6</v>
      </c>
      <c r="H5" s="5" t="s">
        <v>7</v>
      </c>
      <c r="I5" s="4" t="s">
        <v>8</v>
      </c>
      <c r="J5" s="18" t="s">
        <v>9</v>
      </c>
    </row>
    <row r="6" spans="1:10" ht="40.5" customHeight="1">
      <c r="A6" s="6"/>
      <c r="B6" s="7"/>
      <c r="C6" s="80" t="s">
        <v>10</v>
      </c>
      <c r="D6" s="8"/>
      <c r="E6" s="9" t="s">
        <v>11</v>
      </c>
      <c r="F6" s="54">
        <v>47.6</v>
      </c>
      <c r="G6" s="54">
        <v>51.548000000000002</v>
      </c>
      <c r="H6" s="55" t="s">
        <v>12</v>
      </c>
      <c r="I6" s="17" t="str">
        <f>IF($G6&gt;0,"STATION ON STREAM",IF(AND($G6=0,$H6&gt;0),"STATION ON STANDBY","STATION ON SHUTDOWN"))</f>
        <v>STATION ON STREAM</v>
      </c>
      <c r="J6" s="56">
        <v>193.54</v>
      </c>
    </row>
    <row r="7" spans="1:10" ht="35.15" customHeight="1">
      <c r="A7" s="6"/>
      <c r="B7" s="7"/>
      <c r="C7" s="81"/>
      <c r="D7" s="12"/>
      <c r="E7" s="13" t="s">
        <v>13</v>
      </c>
      <c r="F7" s="14"/>
      <c r="G7" s="57">
        <f>G6</f>
        <v>51.548000000000002</v>
      </c>
      <c r="H7" s="15"/>
      <c r="I7" s="17"/>
      <c r="J7" s="19">
        <f>J6</f>
        <v>193.54</v>
      </c>
    </row>
    <row r="8" spans="1:10" ht="29.25" customHeight="1">
      <c r="A8" s="6"/>
      <c r="B8" s="7"/>
      <c r="C8" s="81"/>
      <c r="D8" s="12"/>
      <c r="E8" s="9" t="s">
        <v>19</v>
      </c>
      <c r="F8" s="10">
        <v>27</v>
      </c>
      <c r="G8" s="58">
        <v>26.858000000000001</v>
      </c>
      <c r="H8" s="16" t="s">
        <v>18</v>
      </c>
      <c r="I8" s="17" t="str">
        <f>IF($G8&gt;0,"STATION ON STREAM",IF(AND($G8=0,$H9&gt;0),"STATION ON STANDBY","STATION ON SHUTDOWN"))</f>
        <v>STATION ON STREAM</v>
      </c>
      <c r="J8" s="56">
        <v>103.73</v>
      </c>
    </row>
    <row r="9" spans="1:10" ht="35.15" customHeight="1">
      <c r="A9" s="6"/>
      <c r="B9" s="7"/>
      <c r="C9" s="81"/>
      <c r="D9" s="12"/>
      <c r="E9" s="9" t="s">
        <v>20</v>
      </c>
      <c r="F9" s="10">
        <v>0</v>
      </c>
      <c r="G9" s="58">
        <v>0</v>
      </c>
      <c r="H9" s="16" t="s">
        <v>21</v>
      </c>
      <c r="I9" s="17" t="str">
        <f t="shared" ref="I9:I13" si="0">IF($G9&gt;0,"STATION ON STREAM",IF(AND($G9=0,$H9&gt;0),"STATION ON STANDBY","STATION ON SHUTDOWN"))</f>
        <v>STATION ON STANDBY</v>
      </c>
      <c r="J9" s="56">
        <v>0</v>
      </c>
    </row>
    <row r="10" spans="1:10" ht="35.15" customHeight="1">
      <c r="A10" s="6"/>
      <c r="B10" s="7"/>
      <c r="C10" s="81"/>
      <c r="D10" s="12"/>
      <c r="E10" s="9" t="s">
        <v>22</v>
      </c>
      <c r="F10" s="21">
        <v>13</v>
      </c>
      <c r="G10" s="58">
        <v>5.8490000000000002</v>
      </c>
      <c r="H10" s="16" t="s">
        <v>17</v>
      </c>
      <c r="I10" s="17" t="str">
        <f t="shared" si="0"/>
        <v>STATION ON STREAM</v>
      </c>
      <c r="J10" s="56">
        <v>83.35</v>
      </c>
    </row>
    <row r="11" spans="1:10" ht="35.15" customHeight="1">
      <c r="A11" s="6"/>
      <c r="B11" s="7"/>
      <c r="C11" s="81"/>
      <c r="D11" s="12"/>
      <c r="E11" s="9" t="s">
        <v>23</v>
      </c>
      <c r="F11" s="10">
        <v>30</v>
      </c>
      <c r="G11" s="58">
        <v>18.745999999999999</v>
      </c>
      <c r="H11" s="16" t="s">
        <v>15</v>
      </c>
      <c r="I11" s="17" t="str">
        <f t="shared" si="0"/>
        <v>STATION ON STREAM</v>
      </c>
      <c r="J11" s="56">
        <v>62.083333333333336</v>
      </c>
    </row>
    <row r="12" spans="1:10" ht="35.15" customHeight="1">
      <c r="A12" s="6"/>
      <c r="B12" s="7"/>
      <c r="C12" s="81"/>
      <c r="D12" s="12"/>
      <c r="E12" s="9" t="s">
        <v>24</v>
      </c>
      <c r="F12" s="10">
        <v>0</v>
      </c>
      <c r="G12" s="58">
        <v>0</v>
      </c>
      <c r="H12" s="16" t="s">
        <v>16</v>
      </c>
      <c r="I12" s="17" t="str">
        <f t="shared" si="0"/>
        <v>STATION ON STANDBY</v>
      </c>
      <c r="J12" s="56">
        <v>0</v>
      </c>
    </row>
    <row r="13" spans="1:10" ht="35.15" customHeight="1">
      <c r="A13" s="6"/>
      <c r="B13" s="7"/>
      <c r="C13" s="81"/>
      <c r="D13" s="12"/>
      <c r="E13" s="9" t="s">
        <v>25</v>
      </c>
      <c r="F13" s="10">
        <v>97.24</v>
      </c>
      <c r="G13" s="58">
        <v>95.004000000000005</v>
      </c>
      <c r="H13" s="11" t="s">
        <v>26</v>
      </c>
      <c r="I13" s="17" t="str">
        <f t="shared" si="0"/>
        <v>STATION ON STREAM</v>
      </c>
      <c r="J13" s="56">
        <v>400.24</v>
      </c>
    </row>
    <row r="14" spans="1:10" ht="35.15" customHeight="1">
      <c r="A14" s="6"/>
      <c r="B14" s="7"/>
      <c r="C14" s="81"/>
      <c r="D14" s="12"/>
      <c r="E14" s="13" t="s">
        <v>13</v>
      </c>
      <c r="F14" s="14"/>
      <c r="G14" s="57">
        <f>SUM(G8:G13)</f>
        <v>146.45699999999999</v>
      </c>
      <c r="H14" s="15"/>
      <c r="I14" s="17"/>
      <c r="J14" s="19">
        <f>SUM(J8:J13)</f>
        <v>649.40333333333331</v>
      </c>
    </row>
    <row r="15" spans="1:10" ht="35.15" customHeight="1">
      <c r="A15" s="6"/>
      <c r="B15" s="7"/>
      <c r="C15" s="69"/>
      <c r="D15" s="8"/>
      <c r="E15" s="9" t="s">
        <v>27</v>
      </c>
      <c r="F15" s="21"/>
      <c r="G15" s="21">
        <v>53.8</v>
      </c>
      <c r="H15" s="11" t="s">
        <v>28</v>
      </c>
      <c r="I15" s="17" t="str">
        <f t="shared" ref="I15:I18" si="1">IF($G15&gt;0,"STATION ON STREAM",IF(AND($G15=0,$H15&gt;0),"STATION ON STANDBY","STATION ON SHUTDOWN"))</f>
        <v>STATION ON STREAM</v>
      </c>
      <c r="J15" s="17"/>
    </row>
    <row r="16" spans="1:10" ht="35.15" customHeight="1">
      <c r="A16" s="6"/>
      <c r="B16" s="7"/>
      <c r="C16" s="70"/>
      <c r="D16" s="12"/>
      <c r="E16" s="9" t="s">
        <v>29</v>
      </c>
      <c r="F16" s="21"/>
      <c r="G16" s="58">
        <v>10.112</v>
      </c>
      <c r="H16" s="11" t="s">
        <v>30</v>
      </c>
      <c r="I16" s="17" t="str">
        <f t="shared" si="1"/>
        <v>STATION ON STREAM</v>
      </c>
      <c r="J16" s="17"/>
    </row>
    <row r="17" spans="1:10" ht="35.15" customHeight="1">
      <c r="A17" s="6"/>
      <c r="B17" s="7"/>
      <c r="C17" s="70"/>
      <c r="D17" s="12"/>
      <c r="E17" s="9" t="s">
        <v>31</v>
      </c>
      <c r="F17" s="21"/>
      <c r="G17" s="58">
        <v>2.1000000000000001E-2</v>
      </c>
      <c r="H17" s="11" t="s">
        <v>32</v>
      </c>
      <c r="I17" s="17" t="str">
        <f t="shared" si="1"/>
        <v>STATION ON STREAM</v>
      </c>
      <c r="J17" s="17"/>
    </row>
    <row r="18" spans="1:10" ht="35.15" customHeight="1">
      <c r="A18" s="6"/>
      <c r="B18" s="7"/>
      <c r="C18" s="70"/>
      <c r="D18" s="12"/>
      <c r="E18" s="9" t="s">
        <v>33</v>
      </c>
      <c r="F18" s="21"/>
      <c r="G18" s="58">
        <v>28.954999999999998</v>
      </c>
      <c r="H18" s="11" t="s">
        <v>34</v>
      </c>
      <c r="I18" s="17" t="str">
        <f t="shared" si="1"/>
        <v>STATION ON STREAM</v>
      </c>
      <c r="J18" s="17"/>
    </row>
    <row r="19" spans="1:10" ht="34.5" customHeight="1">
      <c r="A19" s="72"/>
      <c r="B19" s="73"/>
      <c r="C19" s="74"/>
      <c r="D19" s="12"/>
      <c r="E19" s="17" t="s">
        <v>47</v>
      </c>
      <c r="F19" s="49"/>
      <c r="G19" s="59">
        <v>8.9999999999999993E-3</v>
      </c>
      <c r="H19" s="16" t="s">
        <v>48</v>
      </c>
      <c r="I19" s="17" t="str">
        <f t="shared" ref="I19:I20" si="2">IF($G19&gt;0,"STATION ON STREAM",IF(AND($G19=0,$H19&gt;0),"STATION ON STANDBY","STATION ON SHUTDOWN"))</f>
        <v>STATION ON STREAM</v>
      </c>
      <c r="J19" s="17"/>
    </row>
    <row r="20" spans="1:10" ht="34.5" customHeight="1">
      <c r="A20" s="72"/>
      <c r="B20" s="73"/>
      <c r="C20" s="74"/>
      <c r="D20" s="12"/>
      <c r="E20" s="17" t="s">
        <v>49</v>
      </c>
      <c r="F20" s="49"/>
      <c r="G20" s="59">
        <v>0</v>
      </c>
      <c r="H20" s="16" t="s">
        <v>40</v>
      </c>
      <c r="I20" s="17" t="str">
        <f t="shared" si="2"/>
        <v>STATION ON STANDBY</v>
      </c>
      <c r="J20" s="17"/>
    </row>
    <row r="21" spans="1:10" ht="35.15" customHeight="1">
      <c r="A21" s="72"/>
      <c r="B21" s="73"/>
      <c r="C21" s="71"/>
      <c r="D21" s="12"/>
      <c r="E21" s="13" t="s">
        <v>13</v>
      </c>
      <c r="F21" s="14"/>
      <c r="G21" s="60">
        <f>SUM(G15:G20)</f>
        <v>92.897000000000006</v>
      </c>
      <c r="H21" s="20"/>
      <c r="I21" s="17"/>
      <c r="J21" s="17"/>
    </row>
    <row r="22" spans="1:10" ht="35.15" customHeight="1">
      <c r="A22" s="72"/>
      <c r="B22" s="73"/>
      <c r="C22" s="68"/>
      <c r="D22" s="12"/>
      <c r="E22" s="9" t="s">
        <v>50</v>
      </c>
      <c r="F22" s="21"/>
      <c r="G22" s="21">
        <v>1.89</v>
      </c>
      <c r="H22" s="21" t="s">
        <v>12</v>
      </c>
      <c r="I22" s="17" t="str">
        <f>IF($G22&gt;0,"STATION ON STREAM",IF(AND($G22=0,$H22&gt;0),"STATION ON STANDBY","STATION ON SHUTDOWN"))</f>
        <v>STATION ON STREAM</v>
      </c>
      <c r="J22" s="17"/>
    </row>
    <row r="23" spans="1:10" ht="35.15" customHeight="1">
      <c r="A23" s="72"/>
      <c r="B23" s="73"/>
      <c r="C23" s="68"/>
      <c r="D23" s="12"/>
      <c r="E23" s="13" t="s">
        <v>13</v>
      </c>
      <c r="F23" s="14"/>
      <c r="G23" s="61">
        <f>SUM(G22)</f>
        <v>1.89</v>
      </c>
      <c r="H23" s="23"/>
      <c r="I23" s="17"/>
      <c r="J23" s="17"/>
    </row>
    <row r="24" spans="1:10" ht="35.15" customHeight="1">
      <c r="A24" s="6"/>
      <c r="B24" s="24"/>
      <c r="C24" s="84" t="s">
        <v>51</v>
      </c>
      <c r="D24" s="12"/>
      <c r="E24" s="9" t="s">
        <v>52</v>
      </c>
      <c r="F24" s="50">
        <v>51</v>
      </c>
      <c r="G24" s="62">
        <v>46.411999999999999</v>
      </c>
      <c r="H24" s="22">
        <v>28</v>
      </c>
      <c r="I24" s="17" t="str">
        <f t="shared" ref="I24:I27" si="3">IF($G24&gt;0,"STATION ON STREAM",IF(AND($G24=0,$H24&gt;0),"STATION ON STANDBY","STATION ON SHUTDOWN"))</f>
        <v>STATION ON STREAM</v>
      </c>
      <c r="J24" s="17"/>
    </row>
    <row r="25" spans="1:10" ht="35.15" customHeight="1">
      <c r="A25" s="25"/>
      <c r="B25" s="24"/>
      <c r="C25" s="85"/>
      <c r="D25" s="12"/>
      <c r="E25" s="9" t="s">
        <v>53</v>
      </c>
      <c r="F25" s="50">
        <v>1</v>
      </c>
      <c r="G25" s="62">
        <v>0.96199999999999997</v>
      </c>
      <c r="H25" s="22" t="s">
        <v>54</v>
      </c>
      <c r="I25" s="17" t="str">
        <f t="shared" si="3"/>
        <v>STATION ON STREAM</v>
      </c>
      <c r="J25" s="17"/>
    </row>
    <row r="26" spans="1:10" ht="35.15" customHeight="1">
      <c r="A26" s="25"/>
      <c r="B26" s="24"/>
      <c r="C26" s="85"/>
      <c r="D26" s="8"/>
      <c r="E26" s="9" t="s">
        <v>55</v>
      </c>
      <c r="F26" s="50">
        <v>186</v>
      </c>
      <c r="G26" s="62">
        <v>188.96199999999999</v>
      </c>
      <c r="H26" s="22" t="s">
        <v>56</v>
      </c>
      <c r="I26" s="17" t="str">
        <f t="shared" si="3"/>
        <v>STATION ON STREAM</v>
      </c>
      <c r="J26" s="42"/>
    </row>
    <row r="27" spans="1:10" ht="35.15" customHeight="1">
      <c r="A27" s="25"/>
      <c r="B27" s="24"/>
      <c r="C27" s="86"/>
      <c r="D27" s="12"/>
      <c r="E27" s="9" t="s">
        <v>57</v>
      </c>
      <c r="F27" s="50">
        <v>0.3</v>
      </c>
      <c r="G27" s="62">
        <v>0.40500000000000003</v>
      </c>
      <c r="H27" s="22" t="s">
        <v>58</v>
      </c>
      <c r="I27" s="17" t="str">
        <f t="shared" si="3"/>
        <v>STATION ON STREAM</v>
      </c>
      <c r="J27" s="21">
        <v>0</v>
      </c>
    </row>
    <row r="28" spans="1:10" ht="35.15" customHeight="1">
      <c r="A28" s="25"/>
      <c r="B28" s="24"/>
      <c r="C28" s="87"/>
      <c r="D28" s="8"/>
      <c r="E28" s="13" t="s">
        <v>13</v>
      </c>
      <c r="F28" s="26"/>
      <c r="G28" s="57">
        <f>SUM(G24+G25+G26+G27)</f>
        <v>236.74099999999999</v>
      </c>
      <c r="H28" s="15"/>
      <c r="I28" s="17"/>
      <c r="J28" s="21"/>
    </row>
    <row r="29" spans="1:10" ht="35.15" customHeight="1">
      <c r="A29" s="25"/>
      <c r="B29" s="24"/>
      <c r="C29" s="84" t="s">
        <v>59</v>
      </c>
      <c r="D29" s="12"/>
      <c r="E29" s="9" t="s">
        <v>60</v>
      </c>
      <c r="F29" s="21">
        <v>150</v>
      </c>
      <c r="G29" s="58">
        <v>130.18899999999999</v>
      </c>
      <c r="H29" s="11">
        <v>35</v>
      </c>
      <c r="I29" s="17" t="str">
        <f>IF($G29&gt;0,"STATION ON STREAM",IF(AND($G29=0,$H29&gt;0),"STATION ON STANDBY","STATION ON SHUTDOWN"))</f>
        <v>STATION ON STREAM</v>
      </c>
      <c r="J29" s="21">
        <f>G35*4</f>
        <v>0</v>
      </c>
    </row>
    <row r="30" spans="1:10" ht="35.15" customHeight="1">
      <c r="A30" s="28"/>
      <c r="B30" s="29"/>
      <c r="C30" s="87"/>
      <c r="D30" s="12"/>
      <c r="E30" s="13" t="s">
        <v>13</v>
      </c>
      <c r="F30" s="14"/>
      <c r="G30" s="63">
        <f>SUM(G29)</f>
        <v>130.18899999999999</v>
      </c>
      <c r="H30" s="27"/>
      <c r="I30" s="17"/>
      <c r="J30" s="17"/>
    </row>
    <row r="31" spans="1:10" ht="35.15" customHeight="1">
      <c r="A31" s="25"/>
      <c r="B31" s="24"/>
      <c r="C31" s="30" t="s">
        <v>61</v>
      </c>
      <c r="D31" s="30"/>
      <c r="E31" s="13" t="s">
        <v>62</v>
      </c>
      <c r="F31" s="13"/>
      <c r="G31" s="66">
        <f>SUM(G7+G14+G21+G23+G28+G30)</f>
        <v>659.72199999999987</v>
      </c>
      <c r="H31" s="27"/>
      <c r="I31" s="17"/>
      <c r="J31" s="17"/>
    </row>
    <row r="32" spans="1:10" ht="34.5" customHeight="1">
      <c r="A32" s="32"/>
      <c r="B32" s="24"/>
      <c r="C32" s="84" t="s">
        <v>63</v>
      </c>
      <c r="D32" s="12"/>
      <c r="E32" s="9" t="s">
        <v>64</v>
      </c>
      <c r="F32" s="9"/>
      <c r="G32" s="67">
        <v>57.277000000000001</v>
      </c>
      <c r="H32" s="31" t="s">
        <v>65</v>
      </c>
      <c r="I32" s="17" t="str">
        <f>IF($G32&gt;0,"STATION ON STREAM",IF(AND($G32=0,$H32&gt;0),"STATION ON STANDBY","STATION ON SHUTDOWN"))</f>
        <v>STATION ON STREAM</v>
      </c>
      <c r="J32" s="17"/>
    </row>
    <row r="33" spans="1:11" ht="35.15" customHeight="1">
      <c r="A33" s="25"/>
      <c r="B33" s="24"/>
      <c r="C33" s="88"/>
      <c r="D33" s="8"/>
      <c r="E33" s="13" t="s">
        <v>13</v>
      </c>
      <c r="F33" s="14"/>
      <c r="G33" s="57">
        <f>SUM(G32)</f>
        <v>57.277000000000001</v>
      </c>
      <c r="H33" s="27"/>
      <c r="I33" s="17"/>
      <c r="J33" s="17"/>
    </row>
    <row r="34" spans="1:11" ht="35.15" customHeight="1">
      <c r="A34" s="25"/>
      <c r="B34" s="24"/>
      <c r="C34" s="84" t="s">
        <v>14</v>
      </c>
      <c r="D34" s="8"/>
      <c r="E34" s="9" t="s">
        <v>66</v>
      </c>
      <c r="F34" s="9"/>
      <c r="G34" s="9">
        <v>12.935</v>
      </c>
      <c r="H34" s="31" t="s">
        <v>67</v>
      </c>
      <c r="I34" s="17" t="str">
        <f>IF($G34&gt;0,"STATION ON STREAM",IF(AND($G34=0,$H34&gt;0),"STATION ON STANDBY","STATION ON SHUTDOWN"))</f>
        <v>STATION ON STREAM</v>
      </c>
      <c r="J34" s="17"/>
    </row>
    <row r="35" spans="1:11" ht="35.15" customHeight="1">
      <c r="A35" s="25"/>
      <c r="B35" s="24"/>
      <c r="C35" s="85"/>
      <c r="D35" s="12"/>
      <c r="E35" s="9" t="s">
        <v>68</v>
      </c>
      <c r="F35" s="9"/>
      <c r="G35" s="65">
        <v>0</v>
      </c>
      <c r="H35" s="31" t="s">
        <v>65</v>
      </c>
      <c r="I35" s="17" t="str">
        <f>IF($G35&gt;0,"STATION ON STREAM",IF(AND($G35=0,$H35&gt;0),"STATION ON STANDBY","STATION ON SHUTDOWN"))</f>
        <v>STATION ON STANDBY</v>
      </c>
      <c r="J35" s="17"/>
    </row>
    <row r="36" spans="1:11" ht="35.25" customHeight="1">
      <c r="A36" s="25"/>
      <c r="B36" s="24"/>
      <c r="C36" s="85"/>
      <c r="D36" s="12"/>
      <c r="E36" s="13" t="s">
        <v>13</v>
      </c>
      <c r="F36" s="14"/>
      <c r="G36" s="57">
        <f>SUM(G34:G35)</f>
        <v>12.935</v>
      </c>
      <c r="H36" s="27"/>
      <c r="I36" s="17"/>
      <c r="J36" s="17"/>
    </row>
    <row r="37" spans="1:11" ht="35.15" customHeight="1">
      <c r="A37" s="25"/>
      <c r="B37" s="24"/>
      <c r="C37" s="85"/>
      <c r="D37" s="12"/>
      <c r="E37" s="9" t="s">
        <v>69</v>
      </c>
      <c r="F37" s="9"/>
      <c r="G37" s="64">
        <v>0</v>
      </c>
      <c r="H37" s="31" t="s">
        <v>65</v>
      </c>
      <c r="I37" s="17" t="str">
        <f>IF($G37&gt;0,"STATION ON STREAM",IF(AND($G37=0,$H37&gt;0),"STATION ON STANDBY","STATION ON SHUTDOWN"))</f>
        <v>STATION ON STANDBY</v>
      </c>
      <c r="J37" s="17"/>
    </row>
    <row r="38" spans="1:11" ht="35.15" customHeight="1">
      <c r="A38" s="33" t="s">
        <v>70</v>
      </c>
      <c r="B38" s="24"/>
      <c r="C38" s="87"/>
      <c r="D38" s="12"/>
      <c r="E38" s="9" t="s">
        <v>71</v>
      </c>
      <c r="F38" s="9"/>
      <c r="G38" s="51">
        <v>0</v>
      </c>
      <c r="H38" s="31" t="s">
        <v>36</v>
      </c>
      <c r="I38" s="17" t="str">
        <f>IF($G38&gt;0,"STATION ON STREAM",IF(AND($G38=0,$H38&gt;0),"STATION ON STANDBY","STATION ON SHUTDOWN"))</f>
        <v>STATION ON STANDBY</v>
      </c>
      <c r="J38" s="17"/>
    </row>
    <row r="39" spans="1:11" ht="35.15" customHeight="1">
      <c r="A39" s="25"/>
      <c r="B39" s="24"/>
      <c r="C39" s="68"/>
      <c r="D39" s="12"/>
      <c r="E39" s="9" t="s">
        <v>72</v>
      </c>
      <c r="F39" s="9"/>
      <c r="G39" s="64">
        <v>0</v>
      </c>
      <c r="H39" s="31" t="s">
        <v>73</v>
      </c>
      <c r="I39" s="17" t="str">
        <f>IF($G39&gt;0,"STATION ON STREAM",IF(AND($G39=0,$H39&gt;0),"STATION ON STANDBY","STATION ON SHUTDOWN"))</f>
        <v>STATION ON STANDBY</v>
      </c>
      <c r="J39" s="17"/>
    </row>
    <row r="40" spans="1:11" ht="35.15" customHeight="1">
      <c r="A40" s="25"/>
      <c r="B40" s="24"/>
      <c r="C40" s="84" t="s">
        <v>74</v>
      </c>
      <c r="D40" s="8"/>
      <c r="E40" s="9" t="s">
        <v>75</v>
      </c>
      <c r="F40" s="9"/>
      <c r="G40" s="64">
        <v>1.6060000000000001</v>
      </c>
      <c r="H40" s="31" t="s">
        <v>76</v>
      </c>
      <c r="I40" s="17" t="str">
        <f>IF($G40&gt;0,"STATION ON STREAM",IF(AND($G40=0,$H40&gt;0),"STATION ON STANDBY","STATION ON SHUTDOWN"))</f>
        <v>STATION ON STREAM</v>
      </c>
      <c r="J40" s="17"/>
      <c r="K40" s="43"/>
    </row>
    <row r="41" spans="1:11" ht="35.15" customHeight="1">
      <c r="A41" s="25"/>
      <c r="B41" s="24"/>
      <c r="C41" s="88"/>
      <c r="D41" s="8"/>
      <c r="E41" s="13" t="s">
        <v>13</v>
      </c>
      <c r="F41" s="14"/>
      <c r="G41" s="57">
        <f>SUM(G37:G40)</f>
        <v>1.6060000000000001</v>
      </c>
      <c r="H41" s="27"/>
      <c r="I41" s="17"/>
      <c r="J41" s="17"/>
      <c r="K41" s="44"/>
    </row>
    <row r="42" spans="1:11" ht="35.15" customHeight="1">
      <c r="A42" s="32"/>
      <c r="B42" s="24"/>
      <c r="C42" s="69" t="s">
        <v>51</v>
      </c>
      <c r="D42" s="8"/>
      <c r="E42" s="9" t="s">
        <v>77</v>
      </c>
      <c r="F42" s="9"/>
      <c r="G42" s="52">
        <v>1.51</v>
      </c>
      <c r="H42" s="35">
        <v>35</v>
      </c>
      <c r="I42" s="17" t="str">
        <f t="shared" ref="I42:I43" si="4">IF($G42&gt;0,"STATION ON STREAM",IF(AND($G42=0,$H42&gt;0),"STATION ON STANDBY","STATION ON SHUTDOWN"))</f>
        <v>STATION ON STREAM</v>
      </c>
      <c r="J42" s="42"/>
    </row>
    <row r="43" spans="1:11" ht="35.15" customHeight="1">
      <c r="A43" s="32"/>
      <c r="B43" s="24"/>
      <c r="C43" s="89"/>
      <c r="D43" s="8"/>
      <c r="E43" s="9" t="s">
        <v>78</v>
      </c>
      <c r="F43" s="9"/>
      <c r="G43" s="53">
        <v>0</v>
      </c>
      <c r="H43" s="35">
        <v>0</v>
      </c>
      <c r="I43" s="17" t="str">
        <f t="shared" si="4"/>
        <v>STATION ON SHUTDOWN</v>
      </c>
      <c r="J43" s="17"/>
    </row>
    <row r="44" spans="1:11" ht="35.15" customHeight="1">
      <c r="A44" s="36"/>
      <c r="B44" s="36"/>
      <c r="C44" s="89"/>
      <c r="D44" s="8"/>
      <c r="E44" s="9" t="s">
        <v>79</v>
      </c>
      <c r="F44" s="9"/>
      <c r="G44" s="53">
        <v>2.41</v>
      </c>
      <c r="H44" s="35">
        <v>15</v>
      </c>
      <c r="I44" s="17" t="str">
        <f>IF($G45&gt;0,"STATION ON STREAM",IF(AND($G45=0,$H44&gt;0),"STATION ON STANDBY","STATION ON SHUTDOWN"))</f>
        <v>STATION ON STANDBY</v>
      </c>
      <c r="J44" s="42"/>
    </row>
    <row r="45" spans="1:11" ht="26.25" customHeight="1">
      <c r="A45" s="36"/>
      <c r="B45" s="36"/>
      <c r="C45" s="90"/>
      <c r="D45" s="8"/>
      <c r="E45" s="9" t="s">
        <v>80</v>
      </c>
      <c r="F45" s="9"/>
      <c r="G45" s="51">
        <v>0</v>
      </c>
      <c r="H45" s="35">
        <v>35</v>
      </c>
      <c r="I45" s="17" t="str">
        <f>IF($G45&gt;0,"STATION ON STREAM",IF(AND($G45=0,$H45&gt;0),"STATION ON STANDBY","STATION ON SHUTDOWN"))</f>
        <v>STATION ON STANDBY</v>
      </c>
      <c r="J45" s="42"/>
    </row>
    <row r="46" spans="1:11" ht="21" customHeight="1">
      <c r="A46" s="82"/>
      <c r="B46" s="83"/>
      <c r="C46" s="30"/>
      <c r="D46" s="12"/>
      <c r="E46" s="13" t="s">
        <v>13</v>
      </c>
      <c r="F46" s="14" t="s">
        <v>62</v>
      </c>
      <c r="G46" s="57">
        <f>SUM(G42:G45)</f>
        <v>3.92</v>
      </c>
      <c r="H46" s="37"/>
      <c r="I46" s="14" t="s">
        <v>81</v>
      </c>
      <c r="J46" s="42"/>
    </row>
    <row r="47" spans="1:11" ht="25.5" customHeight="1">
      <c r="A47" s="38"/>
      <c r="B47" s="38"/>
      <c r="C47" s="30" t="s">
        <v>61</v>
      </c>
      <c r="D47" s="30"/>
      <c r="E47" s="13" t="s">
        <v>62</v>
      </c>
      <c r="F47" s="13" t="s">
        <v>62</v>
      </c>
      <c r="G47" s="57">
        <f>SUM(G33+G36+G41+G46)</f>
        <v>75.738</v>
      </c>
      <c r="H47" s="37"/>
      <c r="I47" s="13" t="s">
        <v>62</v>
      </c>
      <c r="J47" s="45"/>
    </row>
    <row r="48" spans="1:11" ht="18.5">
      <c r="A48" s="38"/>
      <c r="B48" s="38"/>
      <c r="C48" s="30" t="s">
        <v>82</v>
      </c>
      <c r="D48" s="30"/>
      <c r="E48" s="13" t="s">
        <v>62</v>
      </c>
      <c r="F48" s="13" t="s">
        <v>62</v>
      </c>
      <c r="G48" s="66">
        <f>SUM(G31+G47)</f>
        <v>735.45999999999981</v>
      </c>
      <c r="H48" s="39"/>
      <c r="I48" s="46"/>
      <c r="J48" s="47">
        <f>J14+J47+J7</f>
        <v>842.94333333333327</v>
      </c>
    </row>
    <row r="49" spans="1:10" ht="18.5">
      <c r="A49" s="38"/>
      <c r="B49" s="38"/>
      <c r="C49" s="34"/>
      <c r="D49" s="34"/>
      <c r="E49" s="34"/>
      <c r="F49" s="40"/>
      <c r="G49" s="40"/>
      <c r="H49" s="41"/>
      <c r="I49" s="40"/>
      <c r="J49" s="48"/>
    </row>
    <row r="50" spans="1:10" ht="18.5">
      <c r="C50" s="34"/>
      <c r="D50" s="34"/>
      <c r="E50" s="34"/>
      <c r="F50" s="34"/>
      <c r="G50" s="40"/>
      <c r="H50" s="41"/>
      <c r="I50" s="34"/>
      <c r="J50" s="34"/>
    </row>
  </sheetData>
  <sheetProtection formatCells="0" formatColumns="0" formatRows="0" insertColumns="0" insertRows="0"/>
  <mergeCells count="15">
    <mergeCell ref="C15:C18"/>
    <mergeCell ref="A19:B23"/>
    <mergeCell ref="C19:C21"/>
    <mergeCell ref="A1:J2"/>
    <mergeCell ref="A3:J3"/>
    <mergeCell ref="A5:B5"/>
    <mergeCell ref="C6:C7"/>
    <mergeCell ref="C8:C14"/>
    <mergeCell ref="A46:B46"/>
    <mergeCell ref="C24:C28"/>
    <mergeCell ref="C29:C30"/>
    <mergeCell ref="C32:C33"/>
    <mergeCell ref="C34:C38"/>
    <mergeCell ref="C40:C41"/>
    <mergeCell ref="C42:C45"/>
  </mergeCells>
  <printOptions horizontalCentered="1"/>
  <pageMargins left="0.196850393700787" right="0.196850393700787" top="0" bottom="0" header="0.118110236220472" footer="0.118110236220472"/>
  <pageSetup paperSize="9" scale="40" fitToHeight="0" orientation="portrait" verticalDpi="300" r:id="rId1"/>
  <headerFooter alignWithMargins="0">
    <oddHeader>&amp;C&amp;KFFA500&amp;10&amp;"Calibri"Confidential: Internal Use Only</oddHeader>
    <oddFooter>&amp;C&amp;KFFA500&amp;10&amp;"Calibri"Confidential: Internal Use Only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438A8-2696-4201-BA61-A15315B4C493}">
  <sheetPr codeName="Sheet2">
    <pageSetUpPr fitToPage="1"/>
  </sheetPr>
  <dimension ref="A1:K50"/>
  <sheetViews>
    <sheetView showGridLines="0" tabSelected="1" view="pageBreakPreview" topLeftCell="E192" zoomScale="73" zoomScaleNormal="55" zoomScaleSheetLayoutView="73" zoomScalePageLayoutView="10" workbookViewId="0">
      <selection activeCell="A53" sqref="A50:XFD53"/>
    </sheetView>
  </sheetViews>
  <sheetFormatPr defaultColWidth="9" defaultRowHeight="14.5"/>
  <cols>
    <col min="1" max="1" width="15.26953125" customWidth="1"/>
    <col min="2" max="2" width="2.90625" customWidth="1"/>
    <col min="3" max="3" width="18.7265625" customWidth="1"/>
    <col min="4" max="4" width="29.7265625" customWidth="1"/>
    <col min="5" max="5" width="44.08984375" customWidth="1"/>
    <col min="6" max="6" width="22.26953125" customWidth="1"/>
    <col min="7" max="7" width="21" customWidth="1"/>
    <col min="8" max="8" width="23" style="1" customWidth="1"/>
    <col min="9" max="9" width="38.6328125" customWidth="1"/>
    <col min="10" max="10" width="20.36328125" customWidth="1"/>
    <col min="14" max="14" width="8.7265625" customWidth="1"/>
    <col min="15" max="15" width="8.08984375" customWidth="1"/>
    <col min="17" max="17" width="9.26953125" customWidth="1"/>
    <col min="21" max="21" width="9.08984375" customWidth="1"/>
  </cols>
  <sheetData>
    <row r="1" spans="1:10" ht="59.25" customHeight="1">
      <c r="A1" s="75" t="s">
        <v>0</v>
      </c>
      <c r="B1" s="75"/>
      <c r="C1" s="75"/>
      <c r="D1" s="75"/>
      <c r="E1" s="75"/>
      <c r="F1" s="75"/>
      <c r="G1" s="75"/>
      <c r="H1" s="75"/>
      <c r="I1" s="75"/>
      <c r="J1" s="75"/>
    </row>
    <row r="2" spans="1:10" ht="18.75" customHeight="1">
      <c r="A2" s="75"/>
      <c r="B2" s="75"/>
      <c r="C2" s="75"/>
      <c r="D2" s="75"/>
      <c r="E2" s="75"/>
      <c r="F2" s="75"/>
      <c r="G2" s="75"/>
      <c r="H2" s="75"/>
      <c r="I2" s="75"/>
      <c r="J2" s="75"/>
    </row>
    <row r="3" spans="1:10" ht="33" customHeight="1">
      <c r="A3" s="76" t="s">
        <v>242</v>
      </c>
      <c r="B3" s="77"/>
      <c r="C3" s="77"/>
      <c r="D3" s="77"/>
      <c r="E3" s="77"/>
      <c r="F3" s="77"/>
      <c r="G3" s="77"/>
      <c r="H3" s="77"/>
      <c r="I3" s="77"/>
      <c r="J3" s="77"/>
    </row>
    <row r="4" spans="1:10" ht="9.75" customHeight="1">
      <c r="A4" s="2"/>
      <c r="B4" s="2"/>
      <c r="C4" s="2"/>
      <c r="D4" s="2"/>
      <c r="E4" s="2"/>
      <c r="F4" s="2"/>
      <c r="G4" s="2"/>
      <c r="H4" s="3"/>
      <c r="I4" s="2" t="s">
        <v>1</v>
      </c>
      <c r="J4" s="2"/>
    </row>
    <row r="5" spans="1:10" ht="43">
      <c r="A5" s="78" t="s">
        <v>2</v>
      </c>
      <c r="B5" s="79"/>
      <c r="C5" s="4" t="s">
        <v>3</v>
      </c>
      <c r="D5" s="4"/>
      <c r="E5" s="4" t="s">
        <v>4</v>
      </c>
      <c r="F5" s="4" t="s">
        <v>5</v>
      </c>
      <c r="G5" s="4" t="s">
        <v>6</v>
      </c>
      <c r="H5" s="5" t="s">
        <v>7</v>
      </c>
      <c r="I5" s="4" t="s">
        <v>8</v>
      </c>
      <c r="J5" s="18" t="s">
        <v>9</v>
      </c>
    </row>
    <row r="6" spans="1:10" ht="40.5" customHeight="1">
      <c r="A6" s="6"/>
      <c r="B6" s="7"/>
      <c r="C6" s="80" t="s">
        <v>10</v>
      </c>
      <c r="D6" s="8"/>
      <c r="E6" s="9" t="s">
        <v>11</v>
      </c>
      <c r="F6" s="54">
        <v>45.7</v>
      </c>
      <c r="G6" s="54">
        <v>65.632000000000005</v>
      </c>
      <c r="H6" s="55" t="s">
        <v>12</v>
      </c>
      <c r="I6" s="17" t="str">
        <f>IF($G6&gt;0,"STATION ON STREAM",IF(AND($G6=0,$H6&gt;0),"STATION ON STANDBY","STATION ON SHUTDOWN"))</f>
        <v>STATION ON STREAM</v>
      </c>
      <c r="J6" s="56">
        <v>260.04000000000002</v>
      </c>
    </row>
    <row r="7" spans="1:10" ht="35.15" customHeight="1">
      <c r="A7" s="6"/>
      <c r="B7" s="7"/>
      <c r="C7" s="81"/>
      <c r="D7" s="12"/>
      <c r="E7" s="13" t="s">
        <v>13</v>
      </c>
      <c r="F7" s="14"/>
      <c r="G7" s="57">
        <f>G6</f>
        <v>65.632000000000005</v>
      </c>
      <c r="H7" s="15"/>
      <c r="I7" s="17"/>
      <c r="J7" s="19">
        <f>J6</f>
        <v>260.04000000000002</v>
      </c>
    </row>
    <row r="8" spans="1:10" ht="29.25" customHeight="1">
      <c r="A8" s="6"/>
      <c r="B8" s="7"/>
      <c r="C8" s="81"/>
      <c r="D8" s="12"/>
      <c r="E8" s="9" t="s">
        <v>19</v>
      </c>
      <c r="F8" s="10">
        <v>32.79</v>
      </c>
      <c r="G8" s="58">
        <v>27.489000000000001</v>
      </c>
      <c r="H8" s="16" t="s">
        <v>83</v>
      </c>
      <c r="I8" s="17" t="str">
        <f>IF($G8&gt;0,"STATION ON STREAM",IF(AND($G8=0,$H9&gt;0),"STATION ON STANDBY","STATION ON SHUTDOWN"))</f>
        <v>STATION ON STREAM</v>
      </c>
      <c r="J8" s="56">
        <v>105.55</v>
      </c>
    </row>
    <row r="9" spans="1:10" ht="35.15" customHeight="1">
      <c r="A9" s="6"/>
      <c r="B9" s="7"/>
      <c r="C9" s="81"/>
      <c r="D9" s="12"/>
      <c r="E9" s="9" t="s">
        <v>20</v>
      </c>
      <c r="F9" s="10">
        <v>0</v>
      </c>
      <c r="G9" s="58">
        <v>0</v>
      </c>
      <c r="H9" s="16" t="s">
        <v>84</v>
      </c>
      <c r="I9" s="17" t="str">
        <f t="shared" ref="I9:I13" si="0">IF($G9&gt;0,"STATION ON STREAM",IF(AND($G9=0,$H9&gt;0),"STATION ON STANDBY","STATION ON SHUTDOWN"))</f>
        <v>STATION ON STANDBY</v>
      </c>
      <c r="J9" s="56">
        <v>3</v>
      </c>
    </row>
    <row r="10" spans="1:10" ht="35.15" customHeight="1">
      <c r="A10" s="6"/>
      <c r="B10" s="7"/>
      <c r="C10" s="81"/>
      <c r="D10" s="12"/>
      <c r="E10" s="9" t="s">
        <v>22</v>
      </c>
      <c r="F10" s="21">
        <v>15.79</v>
      </c>
      <c r="G10" s="58">
        <v>9.2739999999999991</v>
      </c>
      <c r="H10" s="16" t="s">
        <v>17</v>
      </c>
      <c r="I10" s="17" t="str">
        <f t="shared" si="0"/>
        <v>STATION ON STREAM</v>
      </c>
      <c r="J10" s="56">
        <v>99.1</v>
      </c>
    </row>
    <row r="11" spans="1:10" ht="35.15" customHeight="1">
      <c r="A11" s="6"/>
      <c r="B11" s="7"/>
      <c r="C11" s="81"/>
      <c r="D11" s="12"/>
      <c r="E11" s="9" t="s">
        <v>23</v>
      </c>
      <c r="F11" s="10">
        <v>36.43</v>
      </c>
      <c r="G11" s="58">
        <v>18.61</v>
      </c>
      <c r="H11" s="16" t="s">
        <v>15</v>
      </c>
      <c r="I11" s="17" t="str">
        <f t="shared" si="0"/>
        <v>STATION ON STREAM</v>
      </c>
      <c r="J11" s="56">
        <v>63.239583333333336</v>
      </c>
    </row>
    <row r="12" spans="1:10" ht="35.15" customHeight="1">
      <c r="A12" s="6"/>
      <c r="B12" s="7"/>
      <c r="C12" s="81"/>
      <c r="D12" s="12"/>
      <c r="E12" s="9" t="s">
        <v>24</v>
      </c>
      <c r="F12" s="10">
        <v>0</v>
      </c>
      <c r="G12" s="58">
        <v>0</v>
      </c>
      <c r="H12" s="16" t="s">
        <v>16</v>
      </c>
      <c r="I12" s="17" t="str">
        <f t="shared" si="0"/>
        <v>STATION ON STANDBY</v>
      </c>
      <c r="J12" s="56">
        <v>0</v>
      </c>
    </row>
    <row r="13" spans="1:10" ht="35.15" customHeight="1">
      <c r="A13" s="6"/>
      <c r="B13" s="7"/>
      <c r="C13" s="81"/>
      <c r="D13" s="12"/>
      <c r="E13" s="9" t="s">
        <v>25</v>
      </c>
      <c r="F13" s="10">
        <v>97.24</v>
      </c>
      <c r="G13" s="58">
        <v>95.137</v>
      </c>
      <c r="H13" s="11" t="s">
        <v>85</v>
      </c>
      <c r="I13" s="17" t="str">
        <f t="shared" si="0"/>
        <v>STATION ON STREAM</v>
      </c>
      <c r="J13" s="56">
        <v>406.13</v>
      </c>
    </row>
    <row r="14" spans="1:10" ht="35.15" customHeight="1">
      <c r="A14" s="6"/>
      <c r="B14" s="7"/>
      <c r="C14" s="81"/>
      <c r="D14" s="12"/>
      <c r="E14" s="13" t="s">
        <v>13</v>
      </c>
      <c r="F14" s="14"/>
      <c r="G14" s="57">
        <f>SUM(G8:G13)</f>
        <v>150.51</v>
      </c>
      <c r="H14" s="15"/>
      <c r="I14" s="17"/>
      <c r="J14" s="19">
        <f>SUM(J8:J13)</f>
        <v>677.01958333333323</v>
      </c>
    </row>
    <row r="15" spans="1:10" ht="35.15" customHeight="1">
      <c r="A15" s="6"/>
      <c r="B15" s="7"/>
      <c r="C15" s="69"/>
      <c r="D15" s="8"/>
      <c r="E15" s="9" t="s">
        <v>27</v>
      </c>
      <c r="F15" s="21"/>
      <c r="G15" s="21">
        <v>49.8</v>
      </c>
      <c r="H15" s="11" t="s">
        <v>86</v>
      </c>
      <c r="I15" s="17" t="str">
        <f t="shared" ref="I15:I18" si="1">IF($G15&gt;0,"STATION ON STREAM",IF(AND($G15=0,$H15&gt;0),"STATION ON STANDBY","STATION ON SHUTDOWN"))</f>
        <v>STATION ON STREAM</v>
      </c>
      <c r="J15" s="17"/>
    </row>
    <row r="16" spans="1:10" ht="35.15" customHeight="1">
      <c r="A16" s="6"/>
      <c r="B16" s="7"/>
      <c r="C16" s="70"/>
      <c r="D16" s="12"/>
      <c r="E16" s="9" t="s">
        <v>29</v>
      </c>
      <c r="F16" s="21"/>
      <c r="G16" s="58">
        <v>9.5960000000000001</v>
      </c>
      <c r="H16" s="11" t="s">
        <v>87</v>
      </c>
      <c r="I16" s="17" t="str">
        <f t="shared" si="1"/>
        <v>STATION ON STREAM</v>
      </c>
      <c r="J16" s="17"/>
    </row>
    <row r="17" spans="1:10" ht="35.15" customHeight="1">
      <c r="A17" s="6"/>
      <c r="B17" s="7"/>
      <c r="C17" s="70"/>
      <c r="D17" s="12"/>
      <c r="E17" s="9" t="s">
        <v>31</v>
      </c>
      <c r="F17" s="21"/>
      <c r="G17" s="58">
        <v>4.7E-2</v>
      </c>
      <c r="H17" s="11" t="s">
        <v>88</v>
      </c>
      <c r="I17" s="17" t="str">
        <f t="shared" si="1"/>
        <v>STATION ON STREAM</v>
      </c>
      <c r="J17" s="17"/>
    </row>
    <row r="18" spans="1:10" ht="35.15" customHeight="1">
      <c r="A18" s="6"/>
      <c r="B18" s="7"/>
      <c r="C18" s="70"/>
      <c r="D18" s="12"/>
      <c r="E18" s="9" t="s">
        <v>33</v>
      </c>
      <c r="F18" s="21"/>
      <c r="G18" s="58">
        <v>33.468000000000004</v>
      </c>
      <c r="H18" s="11" t="s">
        <v>89</v>
      </c>
      <c r="I18" s="17" t="str">
        <f t="shared" si="1"/>
        <v>STATION ON STREAM</v>
      </c>
      <c r="J18" s="17"/>
    </row>
    <row r="19" spans="1:10" ht="34.5" customHeight="1">
      <c r="A19" s="72"/>
      <c r="B19" s="73"/>
      <c r="C19" s="74"/>
      <c r="D19" s="12"/>
      <c r="E19" s="17" t="s">
        <v>47</v>
      </c>
      <c r="F19" s="49"/>
      <c r="G19" s="59">
        <v>4.0000000000000001E-3</v>
      </c>
      <c r="H19" s="16" t="s">
        <v>48</v>
      </c>
      <c r="I19" s="17" t="str">
        <f t="shared" ref="I19:I20" si="2">IF($G19&gt;0,"STATION ON STREAM",IF(AND($G19=0,$H19&gt;0),"STATION ON STANDBY","STATION ON SHUTDOWN"))</f>
        <v>STATION ON STREAM</v>
      </c>
      <c r="J19" s="17"/>
    </row>
    <row r="20" spans="1:10" ht="34.5" customHeight="1">
      <c r="A20" s="72"/>
      <c r="B20" s="73"/>
      <c r="C20" s="74"/>
      <c r="D20" s="12"/>
      <c r="E20" s="17" t="s">
        <v>49</v>
      </c>
      <c r="F20" s="49"/>
      <c r="G20" s="59">
        <v>0</v>
      </c>
      <c r="H20" s="16" t="s">
        <v>48</v>
      </c>
      <c r="I20" s="17" t="str">
        <f t="shared" si="2"/>
        <v>STATION ON STANDBY</v>
      </c>
      <c r="J20" s="17"/>
    </row>
    <row r="21" spans="1:10" ht="35.15" customHeight="1">
      <c r="A21" s="72"/>
      <c r="B21" s="73"/>
      <c r="C21" s="71"/>
      <c r="D21" s="12"/>
      <c r="E21" s="13" t="s">
        <v>13</v>
      </c>
      <c r="F21" s="14"/>
      <c r="G21" s="60">
        <f>SUM(G15:G20)</f>
        <v>92.915000000000006</v>
      </c>
      <c r="H21" s="20"/>
      <c r="I21" s="17"/>
      <c r="J21" s="17"/>
    </row>
    <row r="22" spans="1:10" ht="35.15" customHeight="1">
      <c r="A22" s="72"/>
      <c r="B22" s="73"/>
      <c r="C22" s="68"/>
      <c r="D22" s="12"/>
      <c r="E22" s="9" t="s">
        <v>50</v>
      </c>
      <c r="F22" s="21"/>
      <c r="G22" s="21">
        <v>1.89</v>
      </c>
      <c r="H22" s="21" t="s">
        <v>12</v>
      </c>
      <c r="I22" s="17" t="str">
        <f>IF($G22&gt;0,"STATION ON STREAM",IF(AND($G22=0,$H22&gt;0),"STATION ON STANDBY","STATION ON SHUTDOWN"))</f>
        <v>STATION ON STREAM</v>
      </c>
      <c r="J22" s="17"/>
    </row>
    <row r="23" spans="1:10" ht="35.15" customHeight="1">
      <c r="A23" s="72"/>
      <c r="B23" s="73"/>
      <c r="C23" s="68"/>
      <c r="D23" s="12"/>
      <c r="E23" s="13" t="s">
        <v>13</v>
      </c>
      <c r="F23" s="14"/>
      <c r="G23" s="61">
        <f>SUM(G22)</f>
        <v>1.89</v>
      </c>
      <c r="H23" s="23"/>
      <c r="I23" s="17"/>
      <c r="J23" s="17"/>
    </row>
    <row r="24" spans="1:10" ht="35.15" customHeight="1">
      <c r="A24" s="6"/>
      <c r="B24" s="24"/>
      <c r="C24" s="84" t="s">
        <v>51</v>
      </c>
      <c r="D24" s="12"/>
      <c r="E24" s="9" t="s">
        <v>52</v>
      </c>
      <c r="F24" s="50">
        <v>47</v>
      </c>
      <c r="G24" s="62">
        <v>43.856000000000002</v>
      </c>
      <c r="H24" s="22">
        <v>32</v>
      </c>
      <c r="I24" s="17" t="str">
        <f t="shared" ref="I24:I27" si="3">IF($G24&gt;0,"STATION ON STREAM",IF(AND($G24=0,$H24&gt;0),"STATION ON STANDBY","STATION ON SHUTDOWN"))</f>
        <v>STATION ON STREAM</v>
      </c>
      <c r="J24" s="17"/>
    </row>
    <row r="25" spans="1:10" ht="35.15" customHeight="1">
      <c r="A25" s="25"/>
      <c r="B25" s="24"/>
      <c r="C25" s="85"/>
      <c r="D25" s="12"/>
      <c r="E25" s="9" t="s">
        <v>53</v>
      </c>
      <c r="F25" s="50">
        <v>1</v>
      </c>
      <c r="G25" s="62">
        <v>0.85099999999999998</v>
      </c>
      <c r="H25" s="22" t="s">
        <v>54</v>
      </c>
      <c r="I25" s="17" t="str">
        <f t="shared" si="3"/>
        <v>STATION ON STREAM</v>
      </c>
      <c r="J25" s="17"/>
    </row>
    <row r="26" spans="1:10" ht="35.15" customHeight="1">
      <c r="A26" s="25"/>
      <c r="B26" s="24"/>
      <c r="C26" s="85"/>
      <c r="D26" s="8"/>
      <c r="E26" s="9" t="s">
        <v>55</v>
      </c>
      <c r="F26" s="50">
        <v>187</v>
      </c>
      <c r="G26" s="62">
        <v>188.40700000000001</v>
      </c>
      <c r="H26" s="22" t="s">
        <v>96</v>
      </c>
      <c r="I26" s="17" t="str">
        <f t="shared" si="3"/>
        <v>STATION ON STREAM</v>
      </c>
      <c r="J26" s="42"/>
    </row>
    <row r="27" spans="1:10" ht="35.15" customHeight="1">
      <c r="A27" s="25"/>
      <c r="B27" s="24"/>
      <c r="C27" s="86"/>
      <c r="D27" s="12"/>
      <c r="E27" s="9" t="s">
        <v>57</v>
      </c>
      <c r="F27" s="50">
        <v>0.3</v>
      </c>
      <c r="G27" s="62">
        <v>0.40100000000000002</v>
      </c>
      <c r="H27" s="22" t="s">
        <v>58</v>
      </c>
      <c r="I27" s="17" t="str">
        <f t="shared" si="3"/>
        <v>STATION ON STREAM</v>
      </c>
      <c r="J27" s="21">
        <v>0</v>
      </c>
    </row>
    <row r="28" spans="1:10" ht="35.15" customHeight="1">
      <c r="A28" s="25"/>
      <c r="B28" s="24"/>
      <c r="C28" s="87"/>
      <c r="D28" s="8"/>
      <c r="E28" s="13" t="s">
        <v>13</v>
      </c>
      <c r="F28" s="26"/>
      <c r="G28" s="57">
        <f>SUM(G24+G25+G26+G27)</f>
        <v>233.51500000000001</v>
      </c>
      <c r="H28" s="15"/>
      <c r="I28" s="17"/>
      <c r="J28" s="21"/>
    </row>
    <row r="29" spans="1:10" ht="35.15" customHeight="1">
      <c r="A29" s="25"/>
      <c r="B29" s="24"/>
      <c r="C29" s="84" t="s">
        <v>59</v>
      </c>
      <c r="D29" s="12"/>
      <c r="E29" s="9" t="s">
        <v>60</v>
      </c>
      <c r="F29" s="21">
        <v>150</v>
      </c>
      <c r="G29" s="58">
        <v>129.13200000000001</v>
      </c>
      <c r="H29" s="11">
        <v>36</v>
      </c>
      <c r="I29" s="17" t="str">
        <f>IF($G29&gt;0,"STATION ON STREAM",IF(AND($G29=0,$H29&gt;0),"STATION ON STANDBY","STATION ON SHUTDOWN"))</f>
        <v>STATION ON STREAM</v>
      </c>
      <c r="J29" s="21">
        <f>G35*4</f>
        <v>0</v>
      </c>
    </row>
    <row r="30" spans="1:10" ht="35.15" customHeight="1">
      <c r="A30" s="28"/>
      <c r="B30" s="29"/>
      <c r="C30" s="87"/>
      <c r="D30" s="12"/>
      <c r="E30" s="13" t="s">
        <v>13</v>
      </c>
      <c r="F30" s="14"/>
      <c r="G30" s="63">
        <f>SUM(G29)</f>
        <v>129.13200000000001</v>
      </c>
      <c r="H30" s="27"/>
      <c r="I30" s="17"/>
      <c r="J30" s="17"/>
    </row>
    <row r="31" spans="1:10" ht="35.15" customHeight="1">
      <c r="A31" s="25"/>
      <c r="B31" s="24"/>
      <c r="C31" s="30" t="s">
        <v>61</v>
      </c>
      <c r="D31" s="30"/>
      <c r="E31" s="13" t="s">
        <v>62</v>
      </c>
      <c r="F31" s="13"/>
      <c r="G31" s="66">
        <f>SUM(G7+G14+G21+G23+G28+G30)</f>
        <v>673.59400000000005</v>
      </c>
      <c r="H31" s="27"/>
      <c r="I31" s="17"/>
      <c r="J31" s="17"/>
    </row>
    <row r="32" spans="1:10" ht="34.5" customHeight="1">
      <c r="A32" s="32"/>
      <c r="B32" s="24"/>
      <c r="C32" s="84" t="s">
        <v>63</v>
      </c>
      <c r="D32" s="12"/>
      <c r="E32" s="9" t="s">
        <v>64</v>
      </c>
      <c r="F32" s="9"/>
      <c r="G32" s="67">
        <v>57.375</v>
      </c>
      <c r="H32" s="31" t="s">
        <v>65</v>
      </c>
      <c r="I32" s="17" t="str">
        <f>IF($G32&gt;0,"STATION ON STREAM",IF(AND($G32=0,$H32&gt;0),"STATION ON STANDBY","STATION ON SHUTDOWN"))</f>
        <v>STATION ON STREAM</v>
      </c>
      <c r="J32" s="17"/>
    </row>
    <row r="33" spans="1:11" ht="35.15" customHeight="1">
      <c r="A33" s="25"/>
      <c r="B33" s="24"/>
      <c r="C33" s="88"/>
      <c r="D33" s="8"/>
      <c r="E33" s="13" t="s">
        <v>13</v>
      </c>
      <c r="F33" s="14"/>
      <c r="G33" s="57">
        <f>SUM(G32)</f>
        <v>57.375</v>
      </c>
      <c r="H33" s="27"/>
      <c r="I33" s="17"/>
      <c r="J33" s="17"/>
    </row>
    <row r="34" spans="1:11" ht="35.15" customHeight="1">
      <c r="A34" s="25"/>
      <c r="B34" s="24"/>
      <c r="C34" s="84" t="s">
        <v>14</v>
      </c>
      <c r="D34" s="8"/>
      <c r="E34" s="9" t="s">
        <v>66</v>
      </c>
      <c r="F34" s="9"/>
      <c r="G34" s="9">
        <v>8.891</v>
      </c>
      <c r="H34" s="31" t="s">
        <v>67</v>
      </c>
      <c r="I34" s="17" t="str">
        <f>IF($G34&gt;0,"STATION ON STREAM",IF(AND($G34=0,$H34&gt;0),"STATION ON STANDBY","STATION ON SHUTDOWN"))</f>
        <v>STATION ON STREAM</v>
      </c>
      <c r="J34" s="17"/>
    </row>
    <row r="35" spans="1:11" ht="35.15" customHeight="1">
      <c r="A35" s="25"/>
      <c r="B35" s="24"/>
      <c r="C35" s="85"/>
      <c r="D35" s="12"/>
      <c r="E35" s="9" t="s">
        <v>68</v>
      </c>
      <c r="F35" s="9"/>
      <c r="G35" s="65">
        <v>0</v>
      </c>
      <c r="H35" s="31" t="s">
        <v>65</v>
      </c>
      <c r="I35" s="17" t="str">
        <f>IF($G35&gt;0,"STATION ON STREAM",IF(AND($G35=0,$H35&gt;0),"STATION ON STANDBY","STATION ON SHUTDOWN"))</f>
        <v>STATION ON STANDBY</v>
      </c>
      <c r="J35" s="17"/>
    </row>
    <row r="36" spans="1:11" ht="35.25" customHeight="1">
      <c r="A36" s="25"/>
      <c r="B36" s="24"/>
      <c r="C36" s="85"/>
      <c r="D36" s="12"/>
      <c r="E36" s="13" t="s">
        <v>13</v>
      </c>
      <c r="F36" s="14"/>
      <c r="G36" s="57">
        <f>SUM(G34:G35)</f>
        <v>8.891</v>
      </c>
      <c r="H36" s="27"/>
      <c r="I36" s="17"/>
      <c r="J36" s="17"/>
    </row>
    <row r="37" spans="1:11" ht="35.15" customHeight="1">
      <c r="A37" s="25"/>
      <c r="B37" s="24"/>
      <c r="C37" s="85"/>
      <c r="D37" s="12"/>
      <c r="E37" s="9" t="s">
        <v>69</v>
      </c>
      <c r="F37" s="9"/>
      <c r="G37" s="64">
        <v>0</v>
      </c>
      <c r="H37" s="31" t="s">
        <v>36</v>
      </c>
      <c r="I37" s="17" t="str">
        <f>IF($G37&gt;0,"STATION ON STREAM",IF(AND($G37=0,$H37&gt;0),"STATION ON STANDBY","STATION ON SHUTDOWN"))</f>
        <v>STATION ON STANDBY</v>
      </c>
      <c r="J37" s="17"/>
    </row>
    <row r="38" spans="1:11" ht="35.15" customHeight="1">
      <c r="A38" s="33" t="s">
        <v>70</v>
      </c>
      <c r="B38" s="24"/>
      <c r="C38" s="87"/>
      <c r="D38" s="12"/>
      <c r="E38" s="9" t="s">
        <v>71</v>
      </c>
      <c r="F38" s="9"/>
      <c r="G38" s="51">
        <v>0</v>
      </c>
      <c r="H38" s="31" t="s">
        <v>36</v>
      </c>
      <c r="I38" s="17" t="str">
        <f>IF($G38&gt;0,"STATION ON STREAM",IF(AND($G38=0,$H38&gt;0),"STATION ON STANDBY","STATION ON SHUTDOWN"))</f>
        <v>STATION ON STANDBY</v>
      </c>
      <c r="J38" s="17"/>
    </row>
    <row r="39" spans="1:11" ht="35.15" customHeight="1">
      <c r="A39" s="25"/>
      <c r="B39" s="24"/>
      <c r="C39" s="68"/>
      <c r="D39" s="12"/>
      <c r="E39" s="9" t="s">
        <v>72</v>
      </c>
      <c r="F39" s="9"/>
      <c r="G39" s="64">
        <v>0</v>
      </c>
      <c r="H39" s="31" t="s">
        <v>73</v>
      </c>
      <c r="I39" s="17" t="str">
        <f>IF($G39&gt;0,"STATION ON STREAM",IF(AND($G39=0,$H39&gt;0),"STATION ON STANDBY","STATION ON SHUTDOWN"))</f>
        <v>STATION ON STANDBY</v>
      </c>
      <c r="J39" s="17"/>
    </row>
    <row r="40" spans="1:11" ht="35.15" customHeight="1">
      <c r="A40" s="25"/>
      <c r="B40" s="24"/>
      <c r="C40" s="84" t="s">
        <v>74</v>
      </c>
      <c r="D40" s="8"/>
      <c r="E40" s="9" t="s">
        <v>75</v>
      </c>
      <c r="F40" s="9"/>
      <c r="G40" s="64">
        <v>1.3640000000000001</v>
      </c>
      <c r="H40" s="31" t="s">
        <v>97</v>
      </c>
      <c r="I40" s="17" t="str">
        <f>IF($G40&gt;0,"STATION ON STREAM",IF(AND($G40=0,$H40&gt;0),"STATION ON STANDBY","STATION ON SHUTDOWN"))</f>
        <v>STATION ON STREAM</v>
      </c>
      <c r="J40" s="17"/>
      <c r="K40" s="43"/>
    </row>
    <row r="41" spans="1:11" ht="35.15" customHeight="1">
      <c r="A41" s="25"/>
      <c r="B41" s="24"/>
      <c r="C41" s="88"/>
      <c r="D41" s="8"/>
      <c r="E41" s="13" t="s">
        <v>13</v>
      </c>
      <c r="F41" s="14"/>
      <c r="G41" s="57">
        <f>SUM(G37:G40)</f>
        <v>1.3640000000000001</v>
      </c>
      <c r="H41" s="27"/>
      <c r="I41" s="17"/>
      <c r="J41" s="17"/>
      <c r="K41" s="44"/>
    </row>
    <row r="42" spans="1:11" ht="35.15" customHeight="1">
      <c r="A42" s="32"/>
      <c r="B42" s="24"/>
      <c r="C42" s="69" t="s">
        <v>51</v>
      </c>
      <c r="D42" s="8"/>
      <c r="E42" s="9" t="s">
        <v>77</v>
      </c>
      <c r="F42" s="9"/>
      <c r="G42" s="52">
        <v>1.522</v>
      </c>
      <c r="H42" s="35">
        <v>41</v>
      </c>
      <c r="I42" s="17" t="str">
        <f t="shared" ref="I42:I43" si="4">IF($G42&gt;0,"STATION ON STREAM",IF(AND($G42=0,$H42&gt;0),"STATION ON STANDBY","STATION ON SHUTDOWN"))</f>
        <v>STATION ON STREAM</v>
      </c>
      <c r="J42" s="42"/>
    </row>
    <row r="43" spans="1:11" ht="35.15" customHeight="1">
      <c r="A43" s="32"/>
      <c r="B43" s="24"/>
      <c r="C43" s="89"/>
      <c r="D43" s="8"/>
      <c r="E43" s="9" t="s">
        <v>78</v>
      </c>
      <c r="F43" s="9"/>
      <c r="G43" s="53">
        <v>0</v>
      </c>
      <c r="H43" s="35">
        <v>0</v>
      </c>
      <c r="I43" s="17" t="str">
        <f t="shared" si="4"/>
        <v>STATION ON SHUTDOWN</v>
      </c>
      <c r="J43" s="17"/>
    </row>
    <row r="44" spans="1:11" ht="35.15" customHeight="1">
      <c r="A44" s="36"/>
      <c r="B44" s="36"/>
      <c r="C44" s="89"/>
      <c r="D44" s="8"/>
      <c r="E44" s="9" t="s">
        <v>79</v>
      </c>
      <c r="F44" s="9"/>
      <c r="G44" s="53">
        <v>2.2400000000000002</v>
      </c>
      <c r="H44" s="35">
        <v>15</v>
      </c>
      <c r="I44" s="17" t="str">
        <f>IF($G45&gt;0,"STATION ON STREAM",IF(AND($G45=0,$H44&gt;0),"STATION ON STANDBY","STATION ON SHUTDOWN"))</f>
        <v>STATION ON STANDBY</v>
      </c>
      <c r="J44" s="42"/>
    </row>
    <row r="45" spans="1:11" ht="26.25" customHeight="1">
      <c r="A45" s="36"/>
      <c r="B45" s="36"/>
      <c r="C45" s="90"/>
      <c r="D45" s="8"/>
      <c r="E45" s="9" t="s">
        <v>80</v>
      </c>
      <c r="F45" s="9"/>
      <c r="G45" s="51">
        <v>0</v>
      </c>
      <c r="H45" s="35">
        <v>0</v>
      </c>
      <c r="I45" s="17" t="str">
        <f>IF($G45&gt;0,"STATION ON STREAM",IF(AND($G45=0,$H45&gt;0),"STATION ON STANDBY","STATION ON SHUTDOWN"))</f>
        <v>STATION ON SHUTDOWN</v>
      </c>
      <c r="J45" s="42"/>
    </row>
    <row r="46" spans="1:11" ht="21" customHeight="1">
      <c r="A46" s="82"/>
      <c r="B46" s="83"/>
      <c r="C46" s="30"/>
      <c r="D46" s="12"/>
      <c r="E46" s="13" t="s">
        <v>13</v>
      </c>
      <c r="F46" s="14" t="s">
        <v>62</v>
      </c>
      <c r="G46" s="57">
        <f>SUM(G42:G45)</f>
        <v>3.7620000000000005</v>
      </c>
      <c r="H46" s="37"/>
      <c r="I46" s="14" t="s">
        <v>81</v>
      </c>
      <c r="J46" s="42"/>
    </row>
    <row r="47" spans="1:11" ht="25.5" customHeight="1">
      <c r="A47" s="38"/>
      <c r="B47" s="38"/>
      <c r="C47" s="30" t="s">
        <v>61</v>
      </c>
      <c r="D47" s="30"/>
      <c r="E47" s="13" t="s">
        <v>62</v>
      </c>
      <c r="F47" s="13" t="s">
        <v>62</v>
      </c>
      <c r="G47" s="57">
        <f>SUM(G33+G36+G41+G46)</f>
        <v>71.39200000000001</v>
      </c>
      <c r="H47" s="37"/>
      <c r="I47" s="13" t="s">
        <v>62</v>
      </c>
      <c r="J47" s="45"/>
    </row>
    <row r="48" spans="1:11" ht="18.5">
      <c r="A48" s="38"/>
      <c r="B48" s="38"/>
      <c r="C48" s="30" t="s">
        <v>82</v>
      </c>
      <c r="D48" s="30"/>
      <c r="E48" s="13" t="s">
        <v>62</v>
      </c>
      <c r="F48" s="13" t="s">
        <v>62</v>
      </c>
      <c r="G48" s="66">
        <f>SUM(G31+G47)</f>
        <v>744.9860000000001</v>
      </c>
      <c r="H48" s="39"/>
      <c r="I48" s="46"/>
      <c r="J48" s="47">
        <f>J14+J47+J7</f>
        <v>937.05958333333319</v>
      </c>
    </row>
    <row r="49" spans="1:10" ht="18.5">
      <c r="A49" s="38"/>
      <c r="B49" s="38"/>
      <c r="C49" s="34"/>
      <c r="D49" s="34"/>
      <c r="E49" s="34"/>
      <c r="F49" s="40"/>
      <c r="G49" s="40"/>
      <c r="H49" s="41"/>
      <c r="I49" s="40"/>
      <c r="J49" s="48"/>
    </row>
    <row r="50" spans="1:10" ht="18.5">
      <c r="C50" s="34"/>
      <c r="D50" s="34"/>
      <c r="E50" s="34"/>
      <c r="F50" s="34"/>
      <c r="G50" s="40"/>
      <c r="H50" s="41"/>
      <c r="I50" s="34"/>
      <c r="J50" s="34"/>
    </row>
  </sheetData>
  <sheetProtection formatCells="0" formatColumns="0" formatRows="0" insertColumns="0" insertRows="0"/>
  <mergeCells count="15">
    <mergeCell ref="C15:C18"/>
    <mergeCell ref="A19:B23"/>
    <mergeCell ref="C19:C21"/>
    <mergeCell ref="A1:J2"/>
    <mergeCell ref="A3:J3"/>
    <mergeCell ref="A5:B5"/>
    <mergeCell ref="C6:C7"/>
    <mergeCell ref="C8:C14"/>
    <mergeCell ref="A46:B46"/>
    <mergeCell ref="C24:C28"/>
    <mergeCell ref="C29:C30"/>
    <mergeCell ref="C32:C33"/>
    <mergeCell ref="C34:C38"/>
    <mergeCell ref="C40:C41"/>
    <mergeCell ref="C42:C45"/>
  </mergeCells>
  <printOptions horizontalCentered="1"/>
  <pageMargins left="0.196850393700787" right="0.196850393700787" top="0" bottom="0" header="0.118110236220472" footer="0.118110236220472"/>
  <pageSetup paperSize="9" scale="40" fitToHeight="0" orientation="portrait" verticalDpi="300" r:id="rId1"/>
  <headerFooter alignWithMargins="0">
    <oddHeader>&amp;C&amp;KFFA500&amp;10&amp;"Calibri"Confidential: Internal Use Only</oddHeader>
    <oddFooter>&amp;C&amp;KFFA500&amp;10&amp;"Calibri"Confidential: Internal Use Only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85730-E841-44A7-A645-2CFBE3DD9049}">
  <sheetPr codeName="Sheet3">
    <pageSetUpPr fitToPage="1"/>
  </sheetPr>
  <dimension ref="A1:K50"/>
  <sheetViews>
    <sheetView showGridLines="0" tabSelected="1" view="pageBreakPreview" topLeftCell="F191" zoomScale="73" zoomScaleNormal="55" zoomScaleSheetLayoutView="73" zoomScalePageLayoutView="10" workbookViewId="0">
      <selection activeCell="A53" sqref="A50:XFD53"/>
    </sheetView>
  </sheetViews>
  <sheetFormatPr defaultColWidth="9" defaultRowHeight="14.5"/>
  <cols>
    <col min="1" max="1" width="15.26953125" customWidth="1"/>
    <col min="2" max="2" width="2.90625" customWidth="1"/>
    <col min="3" max="3" width="18.7265625" customWidth="1"/>
    <col min="4" max="4" width="29.7265625" customWidth="1"/>
    <col min="5" max="5" width="44.08984375" customWidth="1"/>
    <col min="6" max="6" width="22.26953125" customWidth="1"/>
    <col min="7" max="7" width="21" customWidth="1"/>
    <col min="8" max="8" width="23" style="1" customWidth="1"/>
    <col min="9" max="9" width="38.6328125" customWidth="1"/>
    <col min="10" max="10" width="20.36328125" customWidth="1"/>
    <col min="14" max="14" width="8.7265625" customWidth="1"/>
    <col min="15" max="15" width="8.08984375" customWidth="1"/>
    <col min="17" max="17" width="9.26953125" customWidth="1"/>
    <col min="21" max="21" width="9.08984375" customWidth="1"/>
  </cols>
  <sheetData>
    <row r="1" spans="1:10" ht="59.25" customHeight="1">
      <c r="A1" s="75" t="s">
        <v>0</v>
      </c>
      <c r="B1" s="75"/>
      <c r="C1" s="75"/>
      <c r="D1" s="75"/>
      <c r="E1" s="75"/>
      <c r="F1" s="75"/>
      <c r="G1" s="75"/>
      <c r="H1" s="75"/>
      <c r="I1" s="75"/>
      <c r="J1" s="75"/>
    </row>
    <row r="2" spans="1:10" ht="18.75" customHeight="1">
      <c r="A2" s="75"/>
      <c r="B2" s="75"/>
      <c r="C2" s="75"/>
      <c r="D2" s="75"/>
      <c r="E2" s="75"/>
      <c r="F2" s="75"/>
      <c r="G2" s="75"/>
      <c r="H2" s="75"/>
      <c r="I2" s="75"/>
      <c r="J2" s="75"/>
    </row>
    <row r="3" spans="1:10" ht="33" customHeight="1">
      <c r="A3" s="76" t="s">
        <v>242</v>
      </c>
      <c r="B3" s="77"/>
      <c r="C3" s="77"/>
      <c r="D3" s="77"/>
      <c r="E3" s="77"/>
      <c r="F3" s="77"/>
      <c r="G3" s="77"/>
      <c r="H3" s="77"/>
      <c r="I3" s="77"/>
      <c r="J3" s="77"/>
    </row>
    <row r="4" spans="1:10" ht="9.75" customHeight="1">
      <c r="A4" s="2"/>
      <c r="B4" s="2"/>
      <c r="C4" s="2"/>
      <c r="D4" s="2"/>
      <c r="E4" s="2"/>
      <c r="F4" s="2"/>
      <c r="G4" s="2"/>
      <c r="H4" s="3"/>
      <c r="I4" s="2" t="s">
        <v>1</v>
      </c>
      <c r="J4" s="2"/>
    </row>
    <row r="5" spans="1:10" ht="43">
      <c r="A5" s="78" t="s">
        <v>2</v>
      </c>
      <c r="B5" s="79"/>
      <c r="C5" s="4" t="s">
        <v>3</v>
      </c>
      <c r="D5" s="4"/>
      <c r="E5" s="4" t="s">
        <v>4</v>
      </c>
      <c r="F5" s="4" t="s">
        <v>5</v>
      </c>
      <c r="G5" s="4" t="s">
        <v>6</v>
      </c>
      <c r="H5" s="5" t="s">
        <v>7</v>
      </c>
      <c r="I5" s="4" t="s">
        <v>8</v>
      </c>
      <c r="J5" s="18" t="s">
        <v>9</v>
      </c>
    </row>
    <row r="6" spans="1:10" ht="40.5" customHeight="1">
      <c r="A6" s="6"/>
      <c r="B6" s="7"/>
      <c r="C6" s="80" t="s">
        <v>10</v>
      </c>
      <c r="D6" s="8"/>
      <c r="E6" s="9" t="s">
        <v>11</v>
      </c>
      <c r="F6" s="54">
        <v>47.1</v>
      </c>
      <c r="G6" s="54">
        <v>65.873999999999995</v>
      </c>
      <c r="H6" s="55" t="s">
        <v>98</v>
      </c>
      <c r="I6" s="17" t="str">
        <f>IF($G6&gt;0,"STATION ON STREAM",IF(AND($G6=0,$H6&gt;0),"STATION ON STANDBY","STATION ON SHUTDOWN"))</f>
        <v>STATION ON STREAM</v>
      </c>
      <c r="J6" s="56">
        <v>254.46</v>
      </c>
    </row>
    <row r="7" spans="1:10" ht="35.15" customHeight="1">
      <c r="A7" s="6"/>
      <c r="B7" s="7"/>
      <c r="C7" s="81"/>
      <c r="D7" s="12"/>
      <c r="E7" s="13" t="s">
        <v>13</v>
      </c>
      <c r="F7" s="14"/>
      <c r="G7" s="57">
        <f>G6</f>
        <v>65.873999999999995</v>
      </c>
      <c r="H7" s="15"/>
      <c r="I7" s="17"/>
      <c r="J7" s="19">
        <f>J6</f>
        <v>254.46</v>
      </c>
    </row>
    <row r="8" spans="1:10" ht="29.25" customHeight="1">
      <c r="A8" s="6"/>
      <c r="B8" s="7"/>
      <c r="C8" s="81"/>
      <c r="D8" s="12"/>
      <c r="E8" s="9" t="s">
        <v>19</v>
      </c>
      <c r="F8" s="10">
        <v>27</v>
      </c>
      <c r="G8" s="58">
        <v>27.669</v>
      </c>
      <c r="H8" s="16" t="s">
        <v>101</v>
      </c>
      <c r="I8" s="17" t="str">
        <f>IF($G8&gt;0,"STATION ON STREAM",IF(AND($G8=0,$H9&gt;0),"STATION ON STANDBY","STATION ON SHUTDOWN"))</f>
        <v>STATION ON STREAM</v>
      </c>
      <c r="J8" s="56">
        <v>108.17</v>
      </c>
    </row>
    <row r="9" spans="1:10" ht="35.15" customHeight="1">
      <c r="A9" s="6"/>
      <c r="B9" s="7"/>
      <c r="C9" s="81"/>
      <c r="D9" s="12"/>
      <c r="E9" s="9" t="s">
        <v>20</v>
      </c>
      <c r="F9" s="10">
        <v>14</v>
      </c>
      <c r="G9" s="58">
        <v>3.411</v>
      </c>
      <c r="H9" s="16" t="s">
        <v>102</v>
      </c>
      <c r="I9" s="17" t="str">
        <f t="shared" ref="I9:I13" si="0">IF($G9&gt;0,"STATION ON STREAM",IF(AND($G9=0,$H9&gt;0),"STATION ON STANDBY","STATION ON SHUTDOWN"))</f>
        <v>STATION ON STREAM</v>
      </c>
      <c r="J9" s="56">
        <v>73.680000000000007</v>
      </c>
    </row>
    <row r="10" spans="1:10" ht="35.15" customHeight="1">
      <c r="A10" s="6"/>
      <c r="B10" s="7"/>
      <c r="C10" s="81"/>
      <c r="D10" s="12"/>
      <c r="E10" s="9" t="s">
        <v>22</v>
      </c>
      <c r="F10" s="21">
        <v>14</v>
      </c>
      <c r="G10" s="58">
        <v>12.428000000000001</v>
      </c>
      <c r="H10" s="16" t="s">
        <v>100</v>
      </c>
      <c r="I10" s="17" t="str">
        <f t="shared" si="0"/>
        <v>STATION ON STREAM</v>
      </c>
      <c r="J10" s="56">
        <v>88.55</v>
      </c>
    </row>
    <row r="11" spans="1:10" ht="35.15" customHeight="1">
      <c r="A11" s="6"/>
      <c r="B11" s="7"/>
      <c r="C11" s="81"/>
      <c r="D11" s="12"/>
      <c r="E11" s="9" t="s">
        <v>23</v>
      </c>
      <c r="F11" s="10">
        <v>30</v>
      </c>
      <c r="G11" s="58">
        <v>5.2610000000000001</v>
      </c>
      <c r="H11" s="16" t="s">
        <v>99</v>
      </c>
      <c r="I11" s="17" t="str">
        <f t="shared" si="0"/>
        <v>STATION ON STREAM</v>
      </c>
      <c r="J11" s="56">
        <v>14.802083333333334</v>
      </c>
    </row>
    <row r="12" spans="1:10" ht="35.15" customHeight="1">
      <c r="A12" s="6"/>
      <c r="B12" s="7"/>
      <c r="C12" s="81"/>
      <c r="D12" s="12"/>
      <c r="E12" s="9" t="s">
        <v>24</v>
      </c>
      <c r="F12" s="10">
        <v>0</v>
      </c>
      <c r="G12" s="58">
        <v>0</v>
      </c>
      <c r="H12" s="16" t="s">
        <v>16</v>
      </c>
      <c r="I12" s="17" t="str">
        <f t="shared" si="0"/>
        <v>STATION ON STANDBY</v>
      </c>
      <c r="J12" s="56">
        <v>0</v>
      </c>
    </row>
    <row r="13" spans="1:10" ht="35.15" customHeight="1">
      <c r="A13" s="6"/>
      <c r="B13" s="7"/>
      <c r="C13" s="81"/>
      <c r="D13" s="12"/>
      <c r="E13" s="9" t="s">
        <v>25</v>
      </c>
      <c r="F13" s="10">
        <v>97.24</v>
      </c>
      <c r="G13" s="58">
        <v>92.855000000000004</v>
      </c>
      <c r="H13" s="11" t="s">
        <v>103</v>
      </c>
      <c r="I13" s="17" t="str">
        <f t="shared" si="0"/>
        <v>STATION ON STREAM</v>
      </c>
      <c r="J13" s="56">
        <v>395.04</v>
      </c>
    </row>
    <row r="14" spans="1:10" ht="35.15" customHeight="1">
      <c r="A14" s="6"/>
      <c r="B14" s="7"/>
      <c r="C14" s="81"/>
      <c r="D14" s="12"/>
      <c r="E14" s="13" t="s">
        <v>13</v>
      </c>
      <c r="F14" s="14"/>
      <c r="G14" s="57">
        <f>SUM(G8:G13)</f>
        <v>141.62400000000002</v>
      </c>
      <c r="H14" s="15"/>
      <c r="I14" s="17"/>
      <c r="J14" s="19">
        <f>SUM(J8:J13)</f>
        <v>680.24208333333331</v>
      </c>
    </row>
    <row r="15" spans="1:10" ht="35.15" customHeight="1">
      <c r="A15" s="6"/>
      <c r="B15" s="7"/>
      <c r="C15" s="69"/>
      <c r="D15" s="8"/>
      <c r="E15" s="9" t="s">
        <v>27</v>
      </c>
      <c r="F15" s="21"/>
      <c r="G15" s="21">
        <v>43.8</v>
      </c>
      <c r="H15" s="11" t="s">
        <v>104</v>
      </c>
      <c r="I15" s="17" t="str">
        <f t="shared" ref="I15:I18" si="1">IF($G15&gt;0,"STATION ON STREAM",IF(AND($G15=0,$H15&gt;0),"STATION ON STANDBY","STATION ON SHUTDOWN"))</f>
        <v>STATION ON STREAM</v>
      </c>
      <c r="J15" s="17"/>
    </row>
    <row r="16" spans="1:10" ht="35.15" customHeight="1">
      <c r="A16" s="6"/>
      <c r="B16" s="7"/>
      <c r="C16" s="70"/>
      <c r="D16" s="12"/>
      <c r="E16" s="9" t="s">
        <v>29</v>
      </c>
      <c r="F16" s="21"/>
      <c r="G16" s="58">
        <v>7.383</v>
      </c>
      <c r="H16" s="11" t="s">
        <v>105</v>
      </c>
      <c r="I16" s="17" t="str">
        <f t="shared" si="1"/>
        <v>STATION ON STREAM</v>
      </c>
      <c r="J16" s="17"/>
    </row>
    <row r="17" spans="1:10" ht="35.15" customHeight="1">
      <c r="A17" s="6"/>
      <c r="B17" s="7"/>
      <c r="C17" s="70"/>
      <c r="D17" s="12"/>
      <c r="E17" s="9" t="s">
        <v>31</v>
      </c>
      <c r="F17" s="21"/>
      <c r="G17" s="58">
        <v>5.6000000000000001E-2</v>
      </c>
      <c r="H17" s="11" t="s">
        <v>106</v>
      </c>
      <c r="I17" s="17" t="str">
        <f t="shared" si="1"/>
        <v>STATION ON STREAM</v>
      </c>
      <c r="J17" s="17"/>
    </row>
    <row r="18" spans="1:10" ht="35.15" customHeight="1">
      <c r="A18" s="6"/>
      <c r="B18" s="7"/>
      <c r="C18" s="70"/>
      <c r="D18" s="12"/>
      <c r="E18" s="9" t="s">
        <v>33</v>
      </c>
      <c r="F18" s="21"/>
      <c r="G18" s="58">
        <v>24.702000000000002</v>
      </c>
      <c r="H18" s="11" t="s">
        <v>107</v>
      </c>
      <c r="I18" s="17" t="str">
        <f t="shared" si="1"/>
        <v>STATION ON STREAM</v>
      </c>
      <c r="J18" s="17"/>
    </row>
    <row r="19" spans="1:10" ht="34.5" customHeight="1">
      <c r="A19" s="72"/>
      <c r="B19" s="73"/>
      <c r="C19" s="74"/>
      <c r="D19" s="12"/>
      <c r="E19" s="17" t="s">
        <v>47</v>
      </c>
      <c r="F19" s="49"/>
      <c r="G19" s="59">
        <v>8.0000000000000002E-3</v>
      </c>
      <c r="H19" s="16" t="s">
        <v>43</v>
      </c>
      <c r="I19" s="17" t="str">
        <f t="shared" ref="I19:I20" si="2">IF($G19&gt;0,"STATION ON STREAM",IF(AND($G19=0,$H19&gt;0),"STATION ON STANDBY","STATION ON SHUTDOWN"))</f>
        <v>STATION ON STREAM</v>
      </c>
      <c r="J19" s="17"/>
    </row>
    <row r="20" spans="1:10" ht="34.5" customHeight="1">
      <c r="A20" s="72"/>
      <c r="B20" s="73"/>
      <c r="C20" s="74"/>
      <c r="D20" s="12"/>
      <c r="E20" s="17" t="s">
        <v>49</v>
      </c>
      <c r="F20" s="49"/>
      <c r="G20" s="59">
        <v>0</v>
      </c>
      <c r="H20" s="16" t="s">
        <v>94</v>
      </c>
      <c r="I20" s="17" t="str">
        <f t="shared" si="2"/>
        <v>STATION ON STANDBY</v>
      </c>
      <c r="J20" s="17"/>
    </row>
    <row r="21" spans="1:10" ht="35.15" customHeight="1">
      <c r="A21" s="72"/>
      <c r="B21" s="73"/>
      <c r="C21" s="71"/>
      <c r="D21" s="12"/>
      <c r="E21" s="13" t="s">
        <v>13</v>
      </c>
      <c r="F21" s="14"/>
      <c r="G21" s="60">
        <f>SUM(G15:G20)</f>
        <v>75.948999999999998</v>
      </c>
      <c r="H21" s="20"/>
      <c r="I21" s="17"/>
      <c r="J21" s="17"/>
    </row>
    <row r="22" spans="1:10" ht="35.15" customHeight="1">
      <c r="A22" s="72"/>
      <c r="B22" s="73"/>
      <c r="C22" s="68"/>
      <c r="D22" s="12"/>
      <c r="E22" s="9" t="s">
        <v>50</v>
      </c>
      <c r="F22" s="21"/>
      <c r="G22" s="21">
        <v>1.88</v>
      </c>
      <c r="H22" s="21" t="s">
        <v>98</v>
      </c>
      <c r="I22" s="17" t="str">
        <f>IF($G22&gt;0,"STATION ON STREAM",IF(AND($G22=0,$H22&gt;0),"STATION ON STANDBY","STATION ON SHUTDOWN"))</f>
        <v>STATION ON STREAM</v>
      </c>
      <c r="J22" s="17"/>
    </row>
    <row r="23" spans="1:10" ht="35.15" customHeight="1">
      <c r="A23" s="72"/>
      <c r="B23" s="73"/>
      <c r="C23" s="68"/>
      <c r="D23" s="12"/>
      <c r="E23" s="13" t="s">
        <v>13</v>
      </c>
      <c r="F23" s="14"/>
      <c r="G23" s="61">
        <f>SUM(G22)</f>
        <v>1.88</v>
      </c>
      <c r="H23" s="23"/>
      <c r="I23" s="17"/>
      <c r="J23" s="17"/>
    </row>
    <row r="24" spans="1:10" ht="35.15" customHeight="1">
      <c r="A24" s="6"/>
      <c r="B24" s="24"/>
      <c r="C24" s="84" t="s">
        <v>51</v>
      </c>
      <c r="D24" s="12"/>
      <c r="E24" s="9" t="s">
        <v>52</v>
      </c>
      <c r="F24" s="50">
        <v>38</v>
      </c>
      <c r="G24" s="62">
        <v>37.091000000000001</v>
      </c>
      <c r="H24" s="22">
        <v>36</v>
      </c>
      <c r="I24" s="17" t="str">
        <f t="shared" ref="I24:I27" si="3">IF($G24&gt;0,"STATION ON STREAM",IF(AND($G24=0,$H24&gt;0),"STATION ON STANDBY","STATION ON SHUTDOWN"))</f>
        <v>STATION ON STREAM</v>
      </c>
      <c r="J24" s="17"/>
    </row>
    <row r="25" spans="1:10" ht="35.15" customHeight="1">
      <c r="A25" s="25"/>
      <c r="B25" s="24"/>
      <c r="C25" s="85"/>
      <c r="D25" s="12"/>
      <c r="E25" s="9" t="s">
        <v>53</v>
      </c>
      <c r="F25" s="50">
        <v>1</v>
      </c>
      <c r="G25" s="62">
        <v>0.84299999999999997</v>
      </c>
      <c r="H25" s="22" t="s">
        <v>54</v>
      </c>
      <c r="I25" s="17" t="str">
        <f t="shared" si="3"/>
        <v>STATION ON STREAM</v>
      </c>
      <c r="J25" s="17"/>
    </row>
    <row r="26" spans="1:10" ht="35.15" customHeight="1">
      <c r="A26" s="25"/>
      <c r="B26" s="24"/>
      <c r="C26" s="85"/>
      <c r="D26" s="8"/>
      <c r="E26" s="9" t="s">
        <v>55</v>
      </c>
      <c r="F26" s="50">
        <v>186</v>
      </c>
      <c r="G26" s="62">
        <v>187.916</v>
      </c>
      <c r="H26" s="22" t="s">
        <v>111</v>
      </c>
      <c r="I26" s="17" t="str">
        <f t="shared" si="3"/>
        <v>STATION ON STREAM</v>
      </c>
      <c r="J26" s="42"/>
    </row>
    <row r="27" spans="1:10" ht="35.15" customHeight="1">
      <c r="A27" s="25"/>
      <c r="B27" s="24"/>
      <c r="C27" s="86"/>
      <c r="D27" s="12"/>
      <c r="E27" s="9" t="s">
        <v>57</v>
      </c>
      <c r="F27" s="50">
        <v>0.3</v>
      </c>
      <c r="G27" s="62">
        <v>0.42199999999999999</v>
      </c>
      <c r="H27" s="22" t="s">
        <v>58</v>
      </c>
      <c r="I27" s="17" t="str">
        <f t="shared" si="3"/>
        <v>STATION ON STREAM</v>
      </c>
      <c r="J27" s="21">
        <v>0</v>
      </c>
    </row>
    <row r="28" spans="1:10" ht="35.15" customHeight="1">
      <c r="A28" s="25"/>
      <c r="B28" s="24"/>
      <c r="C28" s="87"/>
      <c r="D28" s="8"/>
      <c r="E28" s="13" t="s">
        <v>13</v>
      </c>
      <c r="F28" s="26"/>
      <c r="G28" s="57">
        <f>SUM(G24+G25+G26+G27)</f>
        <v>226.27199999999999</v>
      </c>
      <c r="H28" s="15"/>
      <c r="I28" s="17"/>
      <c r="J28" s="21"/>
    </row>
    <row r="29" spans="1:10" ht="35.15" customHeight="1">
      <c r="A29" s="25"/>
      <c r="B29" s="24"/>
      <c r="C29" s="84" t="s">
        <v>59</v>
      </c>
      <c r="D29" s="12"/>
      <c r="E29" s="9" t="s">
        <v>60</v>
      </c>
      <c r="F29" s="21">
        <v>150</v>
      </c>
      <c r="G29" s="58">
        <v>141.28399999999999</v>
      </c>
      <c r="H29" s="11">
        <v>40</v>
      </c>
      <c r="I29" s="17" t="str">
        <f>IF($G29&gt;0,"STATION ON STREAM",IF(AND($G29=0,$H29&gt;0),"STATION ON STANDBY","STATION ON SHUTDOWN"))</f>
        <v>STATION ON STREAM</v>
      </c>
      <c r="J29" s="21">
        <f>G35*4</f>
        <v>0</v>
      </c>
    </row>
    <row r="30" spans="1:10" ht="35.15" customHeight="1">
      <c r="A30" s="28"/>
      <c r="B30" s="29"/>
      <c r="C30" s="87"/>
      <c r="D30" s="12"/>
      <c r="E30" s="13" t="s">
        <v>13</v>
      </c>
      <c r="F30" s="14"/>
      <c r="G30" s="63">
        <f>SUM(G29)</f>
        <v>141.28399999999999</v>
      </c>
      <c r="H30" s="27"/>
      <c r="I30" s="17"/>
      <c r="J30" s="17"/>
    </row>
    <row r="31" spans="1:10" ht="35.15" customHeight="1">
      <c r="A31" s="25"/>
      <c r="B31" s="24"/>
      <c r="C31" s="30" t="s">
        <v>61</v>
      </c>
      <c r="D31" s="30"/>
      <c r="E31" s="13" t="s">
        <v>62</v>
      </c>
      <c r="F31" s="13"/>
      <c r="G31" s="66">
        <f>SUM(G7+G14+G21+G23+G28+G30)</f>
        <v>652.88300000000004</v>
      </c>
      <c r="H31" s="27"/>
      <c r="I31" s="17"/>
      <c r="J31" s="17"/>
    </row>
    <row r="32" spans="1:10" ht="34.5" customHeight="1">
      <c r="A32" s="32"/>
      <c r="B32" s="24"/>
      <c r="C32" s="84" t="s">
        <v>63</v>
      </c>
      <c r="D32" s="12"/>
      <c r="E32" s="9" t="s">
        <v>64</v>
      </c>
      <c r="F32" s="9"/>
      <c r="G32" s="67">
        <v>56.148000000000003</v>
      </c>
      <c r="H32" s="31" t="s">
        <v>65</v>
      </c>
      <c r="I32" s="17" t="str">
        <f>IF($G32&gt;0,"STATION ON STREAM",IF(AND($G32=0,$H32&gt;0),"STATION ON STANDBY","STATION ON SHUTDOWN"))</f>
        <v>STATION ON STREAM</v>
      </c>
      <c r="J32" s="17"/>
    </row>
    <row r="33" spans="1:11" ht="35.15" customHeight="1">
      <c r="A33" s="25"/>
      <c r="B33" s="24"/>
      <c r="C33" s="88"/>
      <c r="D33" s="8"/>
      <c r="E33" s="13" t="s">
        <v>13</v>
      </c>
      <c r="F33" s="14"/>
      <c r="G33" s="57">
        <f>SUM(G32)</f>
        <v>56.148000000000003</v>
      </c>
      <c r="H33" s="27"/>
      <c r="I33" s="17"/>
      <c r="J33" s="17"/>
    </row>
    <row r="34" spans="1:11" ht="35.15" customHeight="1">
      <c r="A34" s="25"/>
      <c r="B34" s="24"/>
      <c r="C34" s="84" t="s">
        <v>14</v>
      </c>
      <c r="D34" s="8"/>
      <c r="E34" s="9" t="s">
        <v>66</v>
      </c>
      <c r="F34" s="9"/>
      <c r="G34" s="9">
        <v>10.39</v>
      </c>
      <c r="H34" s="31" t="s">
        <v>67</v>
      </c>
      <c r="I34" s="17" t="str">
        <f>IF($G34&gt;0,"STATION ON STREAM",IF(AND($G34=0,$H34&gt;0),"STATION ON STANDBY","STATION ON SHUTDOWN"))</f>
        <v>STATION ON STREAM</v>
      </c>
      <c r="J34" s="17"/>
    </row>
    <row r="35" spans="1:11" ht="35.15" customHeight="1">
      <c r="A35" s="25"/>
      <c r="B35" s="24"/>
      <c r="C35" s="85"/>
      <c r="D35" s="12"/>
      <c r="E35" s="9" t="s">
        <v>68</v>
      </c>
      <c r="F35" s="9"/>
      <c r="G35" s="65">
        <v>0</v>
      </c>
      <c r="H35" s="31" t="s">
        <v>36</v>
      </c>
      <c r="I35" s="17" t="str">
        <f>IF($G35&gt;0,"STATION ON STREAM",IF(AND($G35=0,$H35&gt;0),"STATION ON STANDBY","STATION ON SHUTDOWN"))</f>
        <v>STATION ON STANDBY</v>
      </c>
      <c r="J35" s="17"/>
    </row>
    <row r="36" spans="1:11" ht="35.25" customHeight="1">
      <c r="A36" s="25"/>
      <c r="B36" s="24"/>
      <c r="C36" s="85"/>
      <c r="D36" s="12"/>
      <c r="E36" s="13" t="s">
        <v>13</v>
      </c>
      <c r="F36" s="14"/>
      <c r="G36" s="57">
        <f>SUM(G34:G35)</f>
        <v>10.39</v>
      </c>
      <c r="H36" s="27"/>
      <c r="I36" s="17"/>
      <c r="J36" s="17"/>
    </row>
    <row r="37" spans="1:11" ht="35.15" customHeight="1">
      <c r="A37" s="25"/>
      <c r="B37" s="24"/>
      <c r="C37" s="85"/>
      <c r="D37" s="12"/>
      <c r="E37" s="9" t="s">
        <v>69</v>
      </c>
      <c r="F37" s="9"/>
      <c r="G37" s="64">
        <v>0</v>
      </c>
      <c r="H37" s="31" t="s">
        <v>65</v>
      </c>
      <c r="I37" s="17" t="str">
        <f>IF($G37&gt;0,"STATION ON STREAM",IF(AND($G37=0,$H37&gt;0),"STATION ON STANDBY","STATION ON SHUTDOWN"))</f>
        <v>STATION ON STANDBY</v>
      </c>
      <c r="J37" s="17"/>
    </row>
    <row r="38" spans="1:11" ht="35.15" customHeight="1">
      <c r="A38" s="33" t="s">
        <v>70</v>
      </c>
      <c r="B38" s="24"/>
      <c r="C38" s="87"/>
      <c r="D38" s="12"/>
      <c r="E38" s="9" t="s">
        <v>71</v>
      </c>
      <c r="F38" s="9"/>
      <c r="G38" s="51">
        <v>0</v>
      </c>
      <c r="H38" s="31" t="s">
        <v>36</v>
      </c>
      <c r="I38" s="17" t="str">
        <f>IF($G38&gt;0,"STATION ON STREAM",IF(AND($G38=0,$H38&gt;0),"STATION ON STANDBY","STATION ON SHUTDOWN"))</f>
        <v>STATION ON STANDBY</v>
      </c>
      <c r="J38" s="17"/>
    </row>
    <row r="39" spans="1:11" ht="35.15" customHeight="1">
      <c r="A39" s="25"/>
      <c r="B39" s="24"/>
      <c r="C39" s="68"/>
      <c r="D39" s="12"/>
      <c r="E39" s="9" t="s">
        <v>72</v>
      </c>
      <c r="F39" s="9"/>
      <c r="G39" s="64">
        <v>0</v>
      </c>
      <c r="H39" s="31" t="s">
        <v>36</v>
      </c>
      <c r="I39" s="17" t="str">
        <f>IF($G39&gt;0,"STATION ON STREAM",IF(AND($G39=0,$H39&gt;0),"STATION ON STANDBY","STATION ON SHUTDOWN"))</f>
        <v>STATION ON STANDBY</v>
      </c>
      <c r="J39" s="17"/>
    </row>
    <row r="40" spans="1:11" ht="35.15" customHeight="1">
      <c r="A40" s="25"/>
      <c r="B40" s="24"/>
      <c r="C40" s="84" t="s">
        <v>74</v>
      </c>
      <c r="D40" s="8"/>
      <c r="E40" s="9" t="s">
        <v>75</v>
      </c>
      <c r="F40" s="9"/>
      <c r="G40" s="64">
        <v>1.7789999999999999</v>
      </c>
      <c r="H40" s="31" t="s">
        <v>112</v>
      </c>
      <c r="I40" s="17" t="str">
        <f>IF($G40&gt;0,"STATION ON STREAM",IF(AND($G40=0,$H40&gt;0),"STATION ON STANDBY","STATION ON SHUTDOWN"))</f>
        <v>STATION ON STREAM</v>
      </c>
      <c r="J40" s="17"/>
      <c r="K40" s="43"/>
    </row>
    <row r="41" spans="1:11" ht="35.15" customHeight="1">
      <c r="A41" s="25"/>
      <c r="B41" s="24"/>
      <c r="C41" s="88"/>
      <c r="D41" s="8"/>
      <c r="E41" s="13" t="s">
        <v>13</v>
      </c>
      <c r="F41" s="14"/>
      <c r="G41" s="57">
        <f>SUM(G37:G40)</f>
        <v>1.7789999999999999</v>
      </c>
      <c r="H41" s="27"/>
      <c r="I41" s="17"/>
      <c r="J41" s="17"/>
      <c r="K41" s="44"/>
    </row>
    <row r="42" spans="1:11" ht="35.15" customHeight="1">
      <c r="A42" s="32"/>
      <c r="B42" s="24"/>
      <c r="C42" s="69" t="s">
        <v>51</v>
      </c>
      <c r="D42" s="8"/>
      <c r="E42" s="9" t="s">
        <v>77</v>
      </c>
      <c r="F42" s="9"/>
      <c r="G42" s="52">
        <v>1.5249999999999999</v>
      </c>
      <c r="H42" s="35">
        <v>41</v>
      </c>
      <c r="I42" s="17" t="str">
        <f t="shared" ref="I42:I43" si="4">IF($G42&gt;0,"STATION ON STREAM",IF(AND($G42=0,$H42&gt;0),"STATION ON STANDBY","STATION ON SHUTDOWN"))</f>
        <v>STATION ON STREAM</v>
      </c>
      <c r="J42" s="42"/>
    </row>
    <row r="43" spans="1:11" ht="35.15" customHeight="1">
      <c r="A43" s="32"/>
      <c r="B43" s="24"/>
      <c r="C43" s="89"/>
      <c r="D43" s="8"/>
      <c r="E43" s="9" t="s">
        <v>78</v>
      </c>
      <c r="F43" s="9"/>
      <c r="G43" s="53">
        <v>0</v>
      </c>
      <c r="H43" s="35">
        <v>0</v>
      </c>
      <c r="I43" s="17" t="str">
        <f t="shared" si="4"/>
        <v>STATION ON SHUTDOWN</v>
      </c>
      <c r="J43" s="17"/>
    </row>
    <row r="44" spans="1:11" ht="35.15" customHeight="1">
      <c r="A44" s="36"/>
      <c r="B44" s="36"/>
      <c r="C44" s="89"/>
      <c r="D44" s="8"/>
      <c r="E44" s="9" t="s">
        <v>79</v>
      </c>
      <c r="F44" s="9"/>
      <c r="G44" s="53">
        <v>2.2400000000000002</v>
      </c>
      <c r="H44" s="35">
        <v>15</v>
      </c>
      <c r="I44" s="17" t="str">
        <f>IF($G45&gt;0,"STATION ON STREAM",IF(AND($G45=0,$H44&gt;0),"STATION ON STANDBY","STATION ON SHUTDOWN"))</f>
        <v>STATION ON STANDBY</v>
      </c>
      <c r="J44" s="42"/>
    </row>
    <row r="45" spans="1:11" ht="26.25" customHeight="1">
      <c r="A45" s="36"/>
      <c r="B45" s="36"/>
      <c r="C45" s="90"/>
      <c r="D45" s="8"/>
      <c r="E45" s="9" t="s">
        <v>80</v>
      </c>
      <c r="F45" s="9"/>
      <c r="G45" s="51">
        <v>0</v>
      </c>
      <c r="H45" s="35">
        <v>0</v>
      </c>
      <c r="I45" s="17" t="str">
        <f>IF($G45&gt;0,"STATION ON STREAM",IF(AND($G45=0,$H45&gt;0),"STATION ON STANDBY","STATION ON SHUTDOWN"))</f>
        <v>STATION ON SHUTDOWN</v>
      </c>
      <c r="J45" s="42"/>
    </row>
    <row r="46" spans="1:11" ht="21" customHeight="1">
      <c r="A46" s="82"/>
      <c r="B46" s="83"/>
      <c r="C46" s="30"/>
      <c r="D46" s="12"/>
      <c r="E46" s="13" t="s">
        <v>13</v>
      </c>
      <c r="F46" s="14" t="s">
        <v>62</v>
      </c>
      <c r="G46" s="57">
        <f>SUM(G42:G45)</f>
        <v>3.7650000000000001</v>
      </c>
      <c r="H46" s="37"/>
      <c r="I46" s="14" t="s">
        <v>81</v>
      </c>
      <c r="J46" s="42"/>
    </row>
    <row r="47" spans="1:11" ht="25.5" customHeight="1">
      <c r="A47" s="38"/>
      <c r="B47" s="38"/>
      <c r="C47" s="30" t="s">
        <v>61</v>
      </c>
      <c r="D47" s="30"/>
      <c r="E47" s="13" t="s">
        <v>62</v>
      </c>
      <c r="F47" s="13" t="s">
        <v>62</v>
      </c>
      <c r="G47" s="57">
        <f>SUM(G33+G36+G41+G46)</f>
        <v>72.082000000000008</v>
      </c>
      <c r="H47" s="37"/>
      <c r="I47" s="13" t="s">
        <v>62</v>
      </c>
      <c r="J47" s="45"/>
    </row>
    <row r="48" spans="1:11" ht="18.5">
      <c r="A48" s="38"/>
      <c r="B48" s="38"/>
      <c r="C48" s="30" t="s">
        <v>82</v>
      </c>
      <c r="D48" s="30"/>
      <c r="E48" s="13" t="s">
        <v>62</v>
      </c>
      <c r="F48" s="13" t="s">
        <v>62</v>
      </c>
      <c r="G48" s="66">
        <f>SUM(G31+G47)</f>
        <v>724.96500000000003</v>
      </c>
      <c r="H48" s="39"/>
      <c r="I48" s="46"/>
      <c r="J48" s="47">
        <f>J14+J47+J7</f>
        <v>934.70208333333335</v>
      </c>
    </row>
    <row r="49" spans="1:10" ht="18.5">
      <c r="A49" s="38"/>
      <c r="B49" s="38"/>
      <c r="C49" s="34"/>
      <c r="D49" s="34"/>
      <c r="E49" s="34"/>
      <c r="F49" s="40"/>
      <c r="G49" s="40"/>
      <c r="H49" s="41"/>
      <c r="I49" s="40"/>
      <c r="J49" s="48"/>
    </row>
    <row r="50" spans="1:10" ht="18.5">
      <c r="C50" s="34"/>
      <c r="D50" s="34"/>
      <c r="E50" s="34"/>
      <c r="F50" s="34"/>
      <c r="G50" s="40"/>
      <c r="H50" s="41"/>
      <c r="I50" s="34"/>
      <c r="J50" s="34"/>
    </row>
  </sheetData>
  <sheetProtection formatCells="0" formatColumns="0" formatRows="0" insertColumns="0" insertRows="0"/>
  <mergeCells count="15">
    <mergeCell ref="A46:B46"/>
    <mergeCell ref="C24:C28"/>
    <mergeCell ref="C29:C30"/>
    <mergeCell ref="C32:C33"/>
    <mergeCell ref="C34:C38"/>
    <mergeCell ref="C40:C41"/>
    <mergeCell ref="C42:C45"/>
    <mergeCell ref="C15:C18"/>
    <mergeCell ref="A19:B23"/>
    <mergeCell ref="C19:C21"/>
    <mergeCell ref="A1:J2"/>
    <mergeCell ref="A3:J3"/>
    <mergeCell ref="A5:B5"/>
    <mergeCell ref="C6:C7"/>
    <mergeCell ref="C8:C14"/>
  </mergeCells>
  <printOptions horizontalCentered="1"/>
  <pageMargins left="0.196850393700787" right="0.196850393700787" top="0" bottom="0" header="0.118110236220472" footer="0.118110236220472"/>
  <pageSetup paperSize="9" scale="40" fitToHeight="0" orientation="portrait" verticalDpi="300" r:id="rId1"/>
  <headerFooter alignWithMargins="0">
    <oddHeader>&amp;C&amp;KFFA500&amp;10&amp;"Calibri"Confidential: Internal Use Only</oddHeader>
    <oddFooter>&amp;C&amp;KFFA500&amp;10&amp;"Calibri"Confidential: Internal Use Only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58C73-B694-4CBF-9D3E-DBEFC202A710}">
  <sheetPr codeName="Sheet4">
    <pageSetUpPr fitToPage="1"/>
  </sheetPr>
  <dimension ref="A1:K50"/>
  <sheetViews>
    <sheetView showGridLines="0" tabSelected="1" view="pageBreakPreview" topLeftCell="F195" zoomScale="73" zoomScaleNormal="55" zoomScaleSheetLayoutView="73" zoomScalePageLayoutView="10" workbookViewId="0">
      <selection activeCell="A53" sqref="A50:XFD53"/>
    </sheetView>
  </sheetViews>
  <sheetFormatPr defaultColWidth="9" defaultRowHeight="14.5"/>
  <cols>
    <col min="1" max="1" width="15.26953125" customWidth="1"/>
    <col min="2" max="2" width="2.90625" customWidth="1"/>
    <col min="3" max="3" width="18.7265625" customWidth="1"/>
    <col min="4" max="4" width="29.7265625" customWidth="1"/>
    <col min="5" max="5" width="44.08984375" customWidth="1"/>
    <col min="6" max="6" width="22.26953125" customWidth="1"/>
    <col min="7" max="7" width="21" customWidth="1"/>
    <col min="8" max="8" width="23" style="1" customWidth="1"/>
    <col min="9" max="9" width="38.6328125" customWidth="1"/>
    <col min="10" max="10" width="20.36328125" customWidth="1"/>
    <col min="14" max="14" width="8.7265625" customWidth="1"/>
    <col min="15" max="15" width="8.08984375" customWidth="1"/>
    <col min="17" max="17" width="9.26953125" customWidth="1"/>
    <col min="21" max="21" width="9.08984375" customWidth="1"/>
  </cols>
  <sheetData>
    <row r="1" spans="1:10" ht="59.25" customHeight="1">
      <c r="A1" s="75" t="s">
        <v>0</v>
      </c>
      <c r="B1" s="75"/>
      <c r="C1" s="75"/>
      <c r="D1" s="75"/>
      <c r="E1" s="75"/>
      <c r="F1" s="75"/>
      <c r="G1" s="75"/>
      <c r="H1" s="75"/>
      <c r="I1" s="75"/>
      <c r="J1" s="75"/>
    </row>
    <row r="2" spans="1:10" ht="18.75" customHeight="1">
      <c r="A2" s="75"/>
      <c r="B2" s="75"/>
      <c r="C2" s="75"/>
      <c r="D2" s="75"/>
      <c r="E2" s="75"/>
      <c r="F2" s="75"/>
      <c r="G2" s="75"/>
      <c r="H2" s="75"/>
      <c r="I2" s="75"/>
      <c r="J2" s="75"/>
    </row>
    <row r="3" spans="1:10" ht="33" customHeight="1">
      <c r="A3" s="76" t="s">
        <v>242</v>
      </c>
      <c r="B3" s="77"/>
      <c r="C3" s="77"/>
      <c r="D3" s="77"/>
      <c r="E3" s="77"/>
      <c r="F3" s="77"/>
      <c r="G3" s="77"/>
      <c r="H3" s="77"/>
      <c r="I3" s="77"/>
      <c r="J3" s="77"/>
    </row>
    <row r="4" spans="1:10" ht="9.75" customHeight="1">
      <c r="A4" s="2"/>
      <c r="B4" s="2"/>
      <c r="C4" s="2"/>
      <c r="D4" s="2"/>
      <c r="E4" s="2"/>
      <c r="F4" s="2"/>
      <c r="G4" s="2"/>
      <c r="H4" s="3"/>
      <c r="I4" s="2" t="s">
        <v>1</v>
      </c>
      <c r="J4" s="2"/>
    </row>
    <row r="5" spans="1:10" ht="43">
      <c r="A5" s="78" t="s">
        <v>2</v>
      </c>
      <c r="B5" s="79"/>
      <c r="C5" s="4" t="s">
        <v>3</v>
      </c>
      <c r="D5" s="4"/>
      <c r="E5" s="4" t="s">
        <v>4</v>
      </c>
      <c r="F5" s="4" t="s">
        <v>5</v>
      </c>
      <c r="G5" s="4" t="s">
        <v>6</v>
      </c>
      <c r="H5" s="5" t="s">
        <v>7</v>
      </c>
      <c r="I5" s="4" t="s">
        <v>8</v>
      </c>
      <c r="J5" s="18" t="s">
        <v>9</v>
      </c>
    </row>
    <row r="6" spans="1:10" ht="40.5" customHeight="1">
      <c r="A6" s="6"/>
      <c r="B6" s="7"/>
      <c r="C6" s="80" t="s">
        <v>10</v>
      </c>
      <c r="D6" s="8"/>
      <c r="E6" s="9" t="s">
        <v>11</v>
      </c>
      <c r="F6" s="54">
        <v>46.1</v>
      </c>
      <c r="G6" s="54">
        <v>48.261000000000003</v>
      </c>
      <c r="H6" s="55" t="s">
        <v>12</v>
      </c>
      <c r="I6" s="17" t="str">
        <f>IF($G6&gt;0,"STATION ON STREAM",IF(AND($G6=0,$H6&gt;0),"STATION ON STANDBY","STATION ON SHUTDOWN"))</f>
        <v>STATION ON STREAM</v>
      </c>
      <c r="J6" s="56">
        <v>208.21</v>
      </c>
    </row>
    <row r="7" spans="1:10" ht="35.15" customHeight="1">
      <c r="A7" s="6"/>
      <c r="B7" s="7"/>
      <c r="C7" s="81"/>
      <c r="D7" s="12"/>
      <c r="E7" s="13" t="s">
        <v>13</v>
      </c>
      <c r="F7" s="14"/>
      <c r="G7" s="57">
        <f>G6</f>
        <v>48.261000000000003</v>
      </c>
      <c r="H7" s="15"/>
      <c r="I7" s="17"/>
      <c r="J7" s="19">
        <f>J6</f>
        <v>208.21</v>
      </c>
    </row>
    <row r="8" spans="1:10" ht="29.25" customHeight="1">
      <c r="A8" s="6"/>
      <c r="B8" s="7"/>
      <c r="C8" s="81"/>
      <c r="D8" s="12"/>
      <c r="E8" s="9" t="s">
        <v>19</v>
      </c>
      <c r="F8" s="10">
        <v>27</v>
      </c>
      <c r="G8" s="58">
        <v>0.92700000000000005</v>
      </c>
      <c r="H8" s="16" t="s">
        <v>116</v>
      </c>
      <c r="I8" s="17" t="str">
        <f>IF($G8&gt;0,"STATION ON STREAM",IF(AND($G8=0,$H9&gt;0),"STATION ON STANDBY","STATION ON SHUTDOWN"))</f>
        <v>STATION ON STREAM</v>
      </c>
      <c r="J8" s="56">
        <v>132.72</v>
      </c>
    </row>
    <row r="9" spans="1:10" ht="35.15" customHeight="1">
      <c r="A9" s="6"/>
      <c r="B9" s="7"/>
      <c r="C9" s="81"/>
      <c r="D9" s="12"/>
      <c r="E9" s="9" t="s">
        <v>20</v>
      </c>
      <c r="F9" s="10">
        <v>15</v>
      </c>
      <c r="G9" s="58">
        <v>0.19600000000000001</v>
      </c>
      <c r="H9" s="16" t="s">
        <v>117</v>
      </c>
      <c r="I9" s="17" t="str">
        <f t="shared" ref="I9:I13" si="0">IF($G9&gt;0,"STATION ON STREAM",IF(AND($G9=0,$H9&gt;0),"STATION ON STANDBY","STATION ON SHUTDOWN"))</f>
        <v>STATION ON STREAM</v>
      </c>
      <c r="J9" s="56">
        <v>50</v>
      </c>
    </row>
    <row r="10" spans="1:10" ht="35.15" customHeight="1">
      <c r="A10" s="6"/>
      <c r="B10" s="7"/>
      <c r="C10" s="81"/>
      <c r="D10" s="12"/>
      <c r="E10" s="9" t="s">
        <v>22</v>
      </c>
      <c r="F10" s="21">
        <v>15</v>
      </c>
      <c r="G10" s="58">
        <v>5.476</v>
      </c>
      <c r="H10" s="16" t="s">
        <v>115</v>
      </c>
      <c r="I10" s="17" t="str">
        <f t="shared" si="0"/>
        <v>STATION ON STREAM</v>
      </c>
      <c r="J10" s="56">
        <v>78.03</v>
      </c>
    </row>
    <row r="11" spans="1:10" ht="35.15" customHeight="1">
      <c r="A11" s="6"/>
      <c r="B11" s="7"/>
      <c r="C11" s="81"/>
      <c r="D11" s="12"/>
      <c r="E11" s="9" t="s">
        <v>23</v>
      </c>
      <c r="F11" s="10">
        <v>38</v>
      </c>
      <c r="G11" s="58">
        <v>5.6529999999999996</v>
      </c>
      <c r="H11" s="16" t="s">
        <v>113</v>
      </c>
      <c r="I11" s="17" t="str">
        <f t="shared" si="0"/>
        <v>STATION ON STREAM</v>
      </c>
      <c r="J11" s="56">
        <v>14.708333333333334</v>
      </c>
    </row>
    <row r="12" spans="1:10" ht="35.15" customHeight="1">
      <c r="A12" s="6"/>
      <c r="B12" s="7"/>
      <c r="C12" s="81"/>
      <c r="D12" s="12"/>
      <c r="E12" s="9" t="s">
        <v>24</v>
      </c>
      <c r="F12" s="10">
        <v>0</v>
      </c>
      <c r="G12" s="58">
        <v>0</v>
      </c>
      <c r="H12" s="16" t="s">
        <v>114</v>
      </c>
      <c r="I12" s="17" t="str">
        <f t="shared" si="0"/>
        <v>STATION ON STANDBY</v>
      </c>
      <c r="J12" s="56">
        <v>0</v>
      </c>
    </row>
    <row r="13" spans="1:10" ht="35.15" customHeight="1">
      <c r="A13" s="6"/>
      <c r="B13" s="7"/>
      <c r="C13" s="81"/>
      <c r="D13" s="12"/>
      <c r="E13" s="9" t="s">
        <v>25</v>
      </c>
      <c r="F13" s="10">
        <v>97.24</v>
      </c>
      <c r="G13" s="58">
        <v>92.43</v>
      </c>
      <c r="H13" s="11" t="s">
        <v>118</v>
      </c>
      <c r="I13" s="17" t="str">
        <f t="shared" si="0"/>
        <v>STATION ON STREAM</v>
      </c>
      <c r="J13" s="56">
        <v>388.07</v>
      </c>
    </row>
    <row r="14" spans="1:10" ht="35.15" customHeight="1">
      <c r="A14" s="6"/>
      <c r="B14" s="7"/>
      <c r="C14" s="81"/>
      <c r="D14" s="12"/>
      <c r="E14" s="13" t="s">
        <v>13</v>
      </c>
      <c r="F14" s="14"/>
      <c r="G14" s="57">
        <f>SUM(G8:G13)</f>
        <v>104.682</v>
      </c>
      <c r="H14" s="15"/>
      <c r="I14" s="17"/>
      <c r="J14" s="19">
        <f>SUM(J8:J13)</f>
        <v>663.52833333333331</v>
      </c>
    </row>
    <row r="15" spans="1:10" ht="35.15" customHeight="1">
      <c r="A15" s="6"/>
      <c r="B15" s="7"/>
      <c r="C15" s="69"/>
      <c r="D15" s="8"/>
      <c r="E15" s="9" t="s">
        <v>27</v>
      </c>
      <c r="F15" s="21"/>
      <c r="G15" s="21">
        <v>53.8</v>
      </c>
      <c r="H15" s="11" t="s">
        <v>119</v>
      </c>
      <c r="I15" s="17" t="str">
        <f t="shared" ref="I15:I18" si="1">IF($G15&gt;0,"STATION ON STREAM",IF(AND($G15=0,$H15&gt;0),"STATION ON STANDBY","STATION ON SHUTDOWN"))</f>
        <v>STATION ON STREAM</v>
      </c>
      <c r="J15" s="17"/>
    </row>
    <row r="16" spans="1:10" ht="35.15" customHeight="1">
      <c r="A16" s="6"/>
      <c r="B16" s="7"/>
      <c r="C16" s="70"/>
      <c r="D16" s="12"/>
      <c r="E16" s="9" t="s">
        <v>29</v>
      </c>
      <c r="F16" s="21"/>
      <c r="G16" s="58">
        <v>9.4320000000000004</v>
      </c>
      <c r="H16" s="11" t="s">
        <v>120</v>
      </c>
      <c r="I16" s="17" t="str">
        <f t="shared" si="1"/>
        <v>STATION ON STREAM</v>
      </c>
      <c r="J16" s="17"/>
    </row>
    <row r="17" spans="1:10" ht="35.15" customHeight="1">
      <c r="A17" s="6"/>
      <c r="B17" s="7"/>
      <c r="C17" s="70"/>
      <c r="D17" s="12"/>
      <c r="E17" s="9" t="s">
        <v>31</v>
      </c>
      <c r="F17" s="21"/>
      <c r="G17" s="58">
        <v>6.3E-2</v>
      </c>
      <c r="H17" s="11" t="s">
        <v>121</v>
      </c>
      <c r="I17" s="17" t="str">
        <f t="shared" si="1"/>
        <v>STATION ON STREAM</v>
      </c>
      <c r="J17" s="17"/>
    </row>
    <row r="18" spans="1:10" ht="35.15" customHeight="1">
      <c r="A18" s="6"/>
      <c r="B18" s="7"/>
      <c r="C18" s="70"/>
      <c r="D18" s="12"/>
      <c r="E18" s="9" t="s">
        <v>33</v>
      </c>
      <c r="F18" s="21"/>
      <c r="G18" s="58">
        <v>25.69</v>
      </c>
      <c r="H18" s="11" t="s">
        <v>122</v>
      </c>
      <c r="I18" s="17" t="str">
        <f t="shared" si="1"/>
        <v>STATION ON STREAM</v>
      </c>
      <c r="J18" s="17"/>
    </row>
    <row r="19" spans="1:10" ht="34.5" customHeight="1">
      <c r="A19" s="72"/>
      <c r="B19" s="73"/>
      <c r="C19" s="74"/>
      <c r="D19" s="12"/>
      <c r="E19" s="17" t="s">
        <v>47</v>
      </c>
      <c r="F19" s="49"/>
      <c r="G19" s="59">
        <v>0</v>
      </c>
      <c r="H19" s="16" t="s">
        <v>95</v>
      </c>
      <c r="I19" s="17" t="str">
        <f t="shared" ref="I19:I20" si="2">IF($G19&gt;0,"STATION ON STREAM",IF(AND($G19=0,$H19&gt;0),"STATION ON STANDBY","STATION ON SHUTDOWN"))</f>
        <v>STATION ON STANDBY</v>
      </c>
      <c r="J19" s="17"/>
    </row>
    <row r="20" spans="1:10" ht="34.5" customHeight="1">
      <c r="A20" s="72"/>
      <c r="B20" s="73"/>
      <c r="C20" s="74"/>
      <c r="D20" s="12"/>
      <c r="E20" s="17" t="s">
        <v>49</v>
      </c>
      <c r="F20" s="49"/>
      <c r="G20" s="59">
        <v>0</v>
      </c>
      <c r="H20" s="16" t="s">
        <v>44</v>
      </c>
      <c r="I20" s="17" t="str">
        <f t="shared" si="2"/>
        <v>STATION ON STANDBY</v>
      </c>
      <c r="J20" s="17"/>
    </row>
    <row r="21" spans="1:10" ht="35.15" customHeight="1">
      <c r="A21" s="72"/>
      <c r="B21" s="73"/>
      <c r="C21" s="71"/>
      <c r="D21" s="12"/>
      <c r="E21" s="13" t="s">
        <v>13</v>
      </c>
      <c r="F21" s="14"/>
      <c r="G21" s="60">
        <f>SUM(G15:G20)</f>
        <v>88.984999999999999</v>
      </c>
      <c r="H21" s="20"/>
      <c r="I21" s="17"/>
      <c r="J21" s="17"/>
    </row>
    <row r="22" spans="1:10" ht="35.15" customHeight="1">
      <c r="A22" s="72"/>
      <c r="B22" s="73"/>
      <c r="C22" s="68"/>
      <c r="D22" s="12"/>
      <c r="E22" s="9" t="s">
        <v>50</v>
      </c>
      <c r="F22" s="21"/>
      <c r="G22" s="21">
        <v>1.85</v>
      </c>
      <c r="H22" s="21" t="s">
        <v>12</v>
      </c>
      <c r="I22" s="17" t="str">
        <f>IF($G22&gt;0,"STATION ON STREAM",IF(AND($G22=0,$H22&gt;0),"STATION ON STANDBY","STATION ON SHUTDOWN"))</f>
        <v>STATION ON STREAM</v>
      </c>
      <c r="J22" s="17"/>
    </row>
    <row r="23" spans="1:10" ht="35.15" customHeight="1">
      <c r="A23" s="72"/>
      <c r="B23" s="73"/>
      <c r="C23" s="68"/>
      <c r="D23" s="12"/>
      <c r="E23" s="13" t="s">
        <v>13</v>
      </c>
      <c r="F23" s="14"/>
      <c r="G23" s="61">
        <f>SUM(G22)</f>
        <v>1.85</v>
      </c>
      <c r="H23" s="23"/>
      <c r="I23" s="17"/>
      <c r="J23" s="17"/>
    </row>
    <row r="24" spans="1:10" ht="35.15" customHeight="1">
      <c r="A24" s="6"/>
      <c r="B24" s="24"/>
      <c r="C24" s="84" t="s">
        <v>51</v>
      </c>
      <c r="D24" s="12"/>
      <c r="E24" s="9" t="s">
        <v>52</v>
      </c>
      <c r="F24" s="50">
        <v>48</v>
      </c>
      <c r="G24" s="62">
        <v>49.756999999999998</v>
      </c>
      <c r="H24" s="22">
        <v>35</v>
      </c>
      <c r="I24" s="17" t="str">
        <f t="shared" ref="I24:I27" si="3">IF($G24&gt;0,"STATION ON STREAM",IF(AND($G24=0,$H24&gt;0),"STATION ON STANDBY","STATION ON SHUTDOWN"))</f>
        <v>STATION ON STREAM</v>
      </c>
      <c r="J24" s="17"/>
    </row>
    <row r="25" spans="1:10" ht="35.15" customHeight="1">
      <c r="A25" s="25"/>
      <c r="B25" s="24"/>
      <c r="C25" s="85"/>
      <c r="D25" s="12"/>
      <c r="E25" s="9" t="s">
        <v>53</v>
      </c>
      <c r="F25" s="50">
        <v>1</v>
      </c>
      <c r="G25" s="62">
        <v>1.0269999999999999</v>
      </c>
      <c r="H25" s="22" t="s">
        <v>54</v>
      </c>
      <c r="I25" s="17" t="str">
        <f t="shared" si="3"/>
        <v>STATION ON STREAM</v>
      </c>
      <c r="J25" s="17"/>
    </row>
    <row r="26" spans="1:10" ht="35.15" customHeight="1">
      <c r="A26" s="25"/>
      <c r="B26" s="24"/>
      <c r="C26" s="85"/>
      <c r="D26" s="8"/>
      <c r="E26" s="9" t="s">
        <v>55</v>
      </c>
      <c r="F26" s="50">
        <v>186</v>
      </c>
      <c r="G26" s="62">
        <v>188.31399999999999</v>
      </c>
      <c r="H26" s="22" t="s">
        <v>127</v>
      </c>
      <c r="I26" s="17" t="str">
        <f t="shared" si="3"/>
        <v>STATION ON STREAM</v>
      </c>
      <c r="J26" s="42"/>
    </row>
    <row r="27" spans="1:10" ht="35.15" customHeight="1">
      <c r="A27" s="25"/>
      <c r="B27" s="24"/>
      <c r="C27" s="86"/>
      <c r="D27" s="12"/>
      <c r="E27" s="9" t="s">
        <v>57</v>
      </c>
      <c r="F27" s="50">
        <v>0.3</v>
      </c>
      <c r="G27" s="62">
        <v>0.40300000000000002</v>
      </c>
      <c r="H27" s="22" t="s">
        <v>58</v>
      </c>
      <c r="I27" s="17" t="str">
        <f t="shared" si="3"/>
        <v>STATION ON STREAM</v>
      </c>
      <c r="J27" s="21">
        <v>0</v>
      </c>
    </row>
    <row r="28" spans="1:10" ht="35.15" customHeight="1">
      <c r="A28" s="25"/>
      <c r="B28" s="24"/>
      <c r="C28" s="87"/>
      <c r="D28" s="8"/>
      <c r="E28" s="13" t="s">
        <v>13</v>
      </c>
      <c r="F28" s="26"/>
      <c r="G28" s="57">
        <f>SUM(G24+G25+G26+G27)</f>
        <v>239.50099999999998</v>
      </c>
      <c r="H28" s="15"/>
      <c r="I28" s="17"/>
      <c r="J28" s="21"/>
    </row>
    <row r="29" spans="1:10" ht="35.15" customHeight="1">
      <c r="A29" s="25"/>
      <c r="B29" s="24"/>
      <c r="C29" s="84" t="s">
        <v>59</v>
      </c>
      <c r="D29" s="12"/>
      <c r="E29" s="9" t="s">
        <v>60</v>
      </c>
      <c r="F29" s="21">
        <v>147</v>
      </c>
      <c r="G29" s="58">
        <v>146.37700000000001</v>
      </c>
      <c r="H29" s="11">
        <v>42</v>
      </c>
      <c r="I29" s="17" t="str">
        <f>IF($G29&gt;0,"STATION ON STREAM",IF(AND($G29=0,$H29&gt;0),"STATION ON STANDBY","STATION ON SHUTDOWN"))</f>
        <v>STATION ON STREAM</v>
      </c>
      <c r="J29" s="21">
        <f>G35*4</f>
        <v>0</v>
      </c>
    </row>
    <row r="30" spans="1:10" ht="35.15" customHeight="1">
      <c r="A30" s="28"/>
      <c r="B30" s="29"/>
      <c r="C30" s="87"/>
      <c r="D30" s="12"/>
      <c r="E30" s="13" t="s">
        <v>13</v>
      </c>
      <c r="F30" s="14"/>
      <c r="G30" s="63">
        <f>SUM(G29)</f>
        <v>146.37700000000001</v>
      </c>
      <c r="H30" s="27"/>
      <c r="I30" s="17"/>
      <c r="J30" s="17"/>
    </row>
    <row r="31" spans="1:10" ht="35.15" customHeight="1">
      <c r="A31" s="25"/>
      <c r="B31" s="24"/>
      <c r="C31" s="30" t="s">
        <v>61</v>
      </c>
      <c r="D31" s="30"/>
      <c r="E31" s="13" t="s">
        <v>62</v>
      </c>
      <c r="F31" s="13"/>
      <c r="G31" s="66">
        <f>SUM(G7+G14+G21+G23+G28+G30)</f>
        <v>629.65599999999995</v>
      </c>
      <c r="H31" s="27"/>
      <c r="I31" s="17"/>
      <c r="J31" s="17"/>
    </row>
    <row r="32" spans="1:10" ht="34.5" customHeight="1">
      <c r="A32" s="32"/>
      <c r="B32" s="24"/>
      <c r="C32" s="84" t="s">
        <v>63</v>
      </c>
      <c r="D32" s="12"/>
      <c r="E32" s="9" t="s">
        <v>64</v>
      </c>
      <c r="F32" s="9"/>
      <c r="G32" s="67">
        <v>56.148000000000003</v>
      </c>
      <c r="H32" s="31" t="s">
        <v>65</v>
      </c>
      <c r="I32" s="17" t="str">
        <f>IF($G32&gt;0,"STATION ON STREAM",IF(AND($G32=0,$H32&gt;0),"STATION ON STANDBY","STATION ON SHUTDOWN"))</f>
        <v>STATION ON STREAM</v>
      </c>
      <c r="J32" s="17"/>
    </row>
    <row r="33" spans="1:11" ht="35.15" customHeight="1">
      <c r="A33" s="25"/>
      <c r="B33" s="24"/>
      <c r="C33" s="88"/>
      <c r="D33" s="8"/>
      <c r="E33" s="13" t="s">
        <v>13</v>
      </c>
      <c r="F33" s="14"/>
      <c r="G33" s="57">
        <f>SUM(G32)</f>
        <v>56.148000000000003</v>
      </c>
      <c r="H33" s="27"/>
      <c r="I33" s="17"/>
      <c r="J33" s="17"/>
    </row>
    <row r="34" spans="1:11" ht="35.15" customHeight="1">
      <c r="A34" s="25"/>
      <c r="B34" s="24"/>
      <c r="C34" s="84" t="s">
        <v>14</v>
      </c>
      <c r="D34" s="8"/>
      <c r="E34" s="9" t="s">
        <v>66</v>
      </c>
      <c r="F34" s="9"/>
      <c r="G34" s="9">
        <v>11.414999999999999</v>
      </c>
      <c r="H34" s="31" t="s">
        <v>67</v>
      </c>
      <c r="I34" s="17" t="str">
        <f>IF($G34&gt;0,"STATION ON STREAM",IF(AND($G34=0,$H34&gt;0),"STATION ON STANDBY","STATION ON SHUTDOWN"))</f>
        <v>STATION ON STREAM</v>
      </c>
      <c r="J34" s="17"/>
    </row>
    <row r="35" spans="1:11" ht="35.15" customHeight="1">
      <c r="A35" s="25"/>
      <c r="B35" s="24"/>
      <c r="C35" s="85"/>
      <c r="D35" s="12"/>
      <c r="E35" s="9" t="s">
        <v>68</v>
      </c>
      <c r="F35" s="9"/>
      <c r="G35" s="65">
        <v>0</v>
      </c>
      <c r="H35" s="31" t="s">
        <v>36</v>
      </c>
      <c r="I35" s="17" t="str">
        <f>IF($G35&gt;0,"STATION ON STREAM",IF(AND($G35=0,$H35&gt;0),"STATION ON STANDBY","STATION ON SHUTDOWN"))</f>
        <v>STATION ON STANDBY</v>
      </c>
      <c r="J35" s="17"/>
    </row>
    <row r="36" spans="1:11" ht="35.25" customHeight="1">
      <c r="A36" s="25"/>
      <c r="B36" s="24"/>
      <c r="C36" s="85"/>
      <c r="D36" s="12"/>
      <c r="E36" s="13" t="s">
        <v>13</v>
      </c>
      <c r="F36" s="14"/>
      <c r="G36" s="57">
        <f>SUM(G34:G35)</f>
        <v>11.414999999999999</v>
      </c>
      <c r="H36" s="27"/>
      <c r="I36" s="17"/>
      <c r="J36" s="17"/>
    </row>
    <row r="37" spans="1:11" ht="35.15" customHeight="1">
      <c r="A37" s="25"/>
      <c r="B37" s="24"/>
      <c r="C37" s="85"/>
      <c r="D37" s="12"/>
      <c r="E37" s="9" t="s">
        <v>69</v>
      </c>
      <c r="F37" s="9"/>
      <c r="G37" s="64">
        <v>0</v>
      </c>
      <c r="H37" s="31" t="s">
        <v>65</v>
      </c>
      <c r="I37" s="17" t="str">
        <f>IF($G37&gt;0,"STATION ON STREAM",IF(AND($G37=0,$H37&gt;0),"STATION ON STANDBY","STATION ON SHUTDOWN"))</f>
        <v>STATION ON STANDBY</v>
      </c>
      <c r="J37" s="17"/>
    </row>
    <row r="38" spans="1:11" ht="35.15" customHeight="1">
      <c r="A38" s="33" t="s">
        <v>70</v>
      </c>
      <c r="B38" s="24"/>
      <c r="C38" s="87"/>
      <c r="D38" s="12"/>
      <c r="E38" s="9" t="s">
        <v>71</v>
      </c>
      <c r="F38" s="9"/>
      <c r="G38" s="51">
        <v>0</v>
      </c>
      <c r="H38" s="31" t="s">
        <v>36</v>
      </c>
      <c r="I38" s="17" t="str">
        <f>IF($G38&gt;0,"STATION ON STREAM",IF(AND($G38=0,$H38&gt;0),"STATION ON STANDBY","STATION ON SHUTDOWN"))</f>
        <v>STATION ON STANDBY</v>
      </c>
      <c r="J38" s="17"/>
    </row>
    <row r="39" spans="1:11" ht="35.15" customHeight="1">
      <c r="A39" s="25"/>
      <c r="B39" s="24"/>
      <c r="C39" s="68"/>
      <c r="D39" s="12"/>
      <c r="E39" s="9" t="s">
        <v>72</v>
      </c>
      <c r="F39" s="9"/>
      <c r="G39" s="64">
        <v>0</v>
      </c>
      <c r="H39" s="31" t="s">
        <v>36</v>
      </c>
      <c r="I39" s="17" t="str">
        <f>IF($G39&gt;0,"STATION ON STREAM",IF(AND($G39=0,$H39&gt;0),"STATION ON STANDBY","STATION ON SHUTDOWN"))</f>
        <v>STATION ON STANDBY</v>
      </c>
      <c r="J39" s="17"/>
    </row>
    <row r="40" spans="1:11" ht="35.15" customHeight="1">
      <c r="A40" s="25"/>
      <c r="B40" s="24"/>
      <c r="C40" s="84" t="s">
        <v>74</v>
      </c>
      <c r="D40" s="8"/>
      <c r="E40" s="9" t="s">
        <v>75</v>
      </c>
      <c r="F40" s="9"/>
      <c r="G40" s="64">
        <v>1.762</v>
      </c>
      <c r="H40" s="31" t="s">
        <v>97</v>
      </c>
      <c r="I40" s="17" t="str">
        <f>IF($G40&gt;0,"STATION ON STREAM",IF(AND($G40=0,$H40&gt;0),"STATION ON STANDBY","STATION ON SHUTDOWN"))</f>
        <v>STATION ON STREAM</v>
      </c>
      <c r="J40" s="17"/>
      <c r="K40" s="43"/>
    </row>
    <row r="41" spans="1:11" ht="35.15" customHeight="1">
      <c r="A41" s="25"/>
      <c r="B41" s="24"/>
      <c r="C41" s="88"/>
      <c r="D41" s="8"/>
      <c r="E41" s="13" t="s">
        <v>13</v>
      </c>
      <c r="F41" s="14"/>
      <c r="G41" s="57">
        <f>SUM(G37:G40)</f>
        <v>1.762</v>
      </c>
      <c r="H41" s="27"/>
      <c r="I41" s="17"/>
      <c r="J41" s="17"/>
      <c r="K41" s="44"/>
    </row>
    <row r="42" spans="1:11" ht="35.15" customHeight="1">
      <c r="A42" s="32"/>
      <c r="B42" s="24"/>
      <c r="C42" s="69" t="s">
        <v>51</v>
      </c>
      <c r="D42" s="8"/>
      <c r="E42" s="9" t="s">
        <v>77</v>
      </c>
      <c r="F42" s="9"/>
      <c r="G42" s="52">
        <v>1.5049999999999999</v>
      </c>
      <c r="H42" s="35">
        <v>44</v>
      </c>
      <c r="I42" s="17" t="str">
        <f t="shared" ref="I42:I43" si="4">IF($G42&gt;0,"STATION ON STREAM",IF(AND($G42=0,$H42&gt;0),"STATION ON STANDBY","STATION ON SHUTDOWN"))</f>
        <v>STATION ON STREAM</v>
      </c>
      <c r="J42" s="42"/>
    </row>
    <row r="43" spans="1:11" ht="35.15" customHeight="1">
      <c r="A43" s="32"/>
      <c r="B43" s="24"/>
      <c r="C43" s="89"/>
      <c r="D43" s="8"/>
      <c r="E43" s="9" t="s">
        <v>78</v>
      </c>
      <c r="F43" s="9"/>
      <c r="G43" s="53">
        <v>0</v>
      </c>
      <c r="H43" s="35">
        <v>0</v>
      </c>
      <c r="I43" s="17" t="str">
        <f t="shared" si="4"/>
        <v>STATION ON SHUTDOWN</v>
      </c>
      <c r="J43" s="17"/>
    </row>
    <row r="44" spans="1:11" ht="35.15" customHeight="1">
      <c r="A44" s="36"/>
      <c r="B44" s="36"/>
      <c r="C44" s="89"/>
      <c r="D44" s="8"/>
      <c r="E44" s="9" t="s">
        <v>79</v>
      </c>
      <c r="F44" s="9"/>
      <c r="G44" s="53">
        <v>2.2400000000000002</v>
      </c>
      <c r="H44" s="35">
        <v>15</v>
      </c>
      <c r="I44" s="17" t="str">
        <f>IF($G45&gt;0,"STATION ON STREAM",IF(AND($G45=0,$H44&gt;0),"STATION ON STANDBY","STATION ON SHUTDOWN"))</f>
        <v>STATION ON STANDBY</v>
      </c>
      <c r="J44" s="42"/>
    </row>
    <row r="45" spans="1:11" ht="26.25" customHeight="1">
      <c r="A45" s="36"/>
      <c r="B45" s="36"/>
      <c r="C45" s="90"/>
      <c r="D45" s="8"/>
      <c r="E45" s="9" t="s">
        <v>80</v>
      </c>
      <c r="F45" s="9"/>
      <c r="G45" s="51">
        <v>0</v>
      </c>
      <c r="H45" s="35">
        <v>0</v>
      </c>
      <c r="I45" s="17" t="str">
        <f>IF($G45&gt;0,"STATION ON STREAM",IF(AND($G45=0,$H45&gt;0),"STATION ON STANDBY","STATION ON SHUTDOWN"))</f>
        <v>STATION ON SHUTDOWN</v>
      </c>
      <c r="J45" s="42"/>
    </row>
    <row r="46" spans="1:11" ht="21" customHeight="1">
      <c r="A46" s="82"/>
      <c r="B46" s="83"/>
      <c r="C46" s="30"/>
      <c r="D46" s="12"/>
      <c r="E46" s="13" t="s">
        <v>13</v>
      </c>
      <c r="F46" s="14" t="s">
        <v>62</v>
      </c>
      <c r="G46" s="57">
        <f>SUM(G42:G45)</f>
        <v>3.7450000000000001</v>
      </c>
      <c r="H46" s="37"/>
      <c r="I46" s="14" t="s">
        <v>81</v>
      </c>
      <c r="J46" s="42"/>
    </row>
    <row r="47" spans="1:11" ht="25.5" customHeight="1">
      <c r="A47" s="38"/>
      <c r="B47" s="38"/>
      <c r="C47" s="30" t="s">
        <v>61</v>
      </c>
      <c r="D47" s="30"/>
      <c r="E47" s="13" t="s">
        <v>62</v>
      </c>
      <c r="F47" s="13" t="s">
        <v>62</v>
      </c>
      <c r="G47" s="57">
        <f>SUM(G33+G36+G41+G46)</f>
        <v>73.070000000000007</v>
      </c>
      <c r="H47" s="37"/>
      <c r="I47" s="13" t="s">
        <v>62</v>
      </c>
      <c r="J47" s="45"/>
    </row>
    <row r="48" spans="1:11" ht="18.5">
      <c r="A48" s="38"/>
      <c r="B48" s="38"/>
      <c r="C48" s="30" t="s">
        <v>82</v>
      </c>
      <c r="D48" s="30"/>
      <c r="E48" s="13" t="s">
        <v>62</v>
      </c>
      <c r="F48" s="13" t="s">
        <v>62</v>
      </c>
      <c r="G48" s="66">
        <f>SUM(G31+G47)</f>
        <v>702.726</v>
      </c>
      <c r="H48" s="39"/>
      <c r="I48" s="46"/>
      <c r="J48" s="47">
        <f>J14+J47+J7</f>
        <v>871.73833333333334</v>
      </c>
    </row>
    <row r="49" spans="1:10" ht="18.5">
      <c r="A49" s="38"/>
      <c r="B49" s="38"/>
      <c r="C49" s="34"/>
      <c r="D49" s="34"/>
      <c r="E49" s="34"/>
      <c r="F49" s="40"/>
      <c r="G49" s="40"/>
      <c r="H49" s="41"/>
      <c r="I49" s="40"/>
      <c r="J49" s="48"/>
    </row>
    <row r="50" spans="1:10" ht="18.5">
      <c r="C50" s="34"/>
      <c r="D50" s="34"/>
      <c r="E50" s="34"/>
      <c r="F50" s="34"/>
      <c r="G50" s="40"/>
      <c r="H50" s="41"/>
      <c r="I50" s="34"/>
      <c r="J50" s="34"/>
    </row>
  </sheetData>
  <sheetProtection formatCells="0" formatColumns="0" formatRows="0" insertColumns="0" insertRows="0"/>
  <mergeCells count="15">
    <mergeCell ref="A46:B46"/>
    <mergeCell ref="C24:C28"/>
    <mergeCell ref="C29:C30"/>
    <mergeCell ref="C32:C33"/>
    <mergeCell ref="C34:C38"/>
    <mergeCell ref="C40:C41"/>
    <mergeCell ref="C42:C45"/>
    <mergeCell ref="C15:C18"/>
    <mergeCell ref="A19:B23"/>
    <mergeCell ref="C19:C21"/>
    <mergeCell ref="A1:J2"/>
    <mergeCell ref="A3:J3"/>
    <mergeCell ref="A5:B5"/>
    <mergeCell ref="C6:C7"/>
    <mergeCell ref="C8:C14"/>
  </mergeCells>
  <printOptions horizontalCentered="1"/>
  <pageMargins left="0.196850393700787" right="0.196850393700787" top="0" bottom="0" header="0.118110236220472" footer="0.118110236220472"/>
  <pageSetup paperSize="9" scale="40" fitToHeight="0" orientation="portrait" verticalDpi="300" r:id="rId1"/>
  <headerFooter alignWithMargins="0">
    <oddHeader>&amp;C&amp;KFFA500&amp;10&amp;"Calibri"Confidential: Internal Use Only</oddHeader>
    <oddFooter>&amp;C&amp;KFFA500&amp;10&amp;"Calibri"Confidential: Internal Use Only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6E61F-A614-4457-B7D1-A5F12B88712A}">
  <sheetPr codeName="Sheet5">
    <pageSetUpPr fitToPage="1"/>
  </sheetPr>
  <dimension ref="A1:K50"/>
  <sheetViews>
    <sheetView showGridLines="0" tabSelected="1" view="pageBreakPreview" topLeftCell="A201" zoomScale="73" zoomScaleNormal="55" zoomScaleSheetLayoutView="73" zoomScalePageLayoutView="10" workbookViewId="0">
      <selection activeCell="A53" sqref="A50:XFD53"/>
    </sheetView>
  </sheetViews>
  <sheetFormatPr defaultColWidth="9" defaultRowHeight="14.5"/>
  <cols>
    <col min="1" max="1" width="15.26953125" customWidth="1"/>
    <col min="2" max="2" width="2.90625" customWidth="1"/>
    <col min="3" max="3" width="18.7265625" customWidth="1"/>
    <col min="4" max="4" width="29.7265625" customWidth="1"/>
    <col min="5" max="5" width="44.08984375" customWidth="1"/>
    <col min="6" max="6" width="22.26953125" customWidth="1"/>
    <col min="7" max="7" width="21" customWidth="1"/>
    <col min="8" max="8" width="23" style="1" customWidth="1"/>
    <col min="9" max="9" width="38.6328125" customWidth="1"/>
    <col min="10" max="10" width="20.36328125" customWidth="1"/>
    <col min="14" max="14" width="8.7265625" customWidth="1"/>
    <col min="15" max="15" width="8.08984375" customWidth="1"/>
    <col min="17" max="17" width="9.26953125" customWidth="1"/>
    <col min="21" max="21" width="9.08984375" customWidth="1"/>
  </cols>
  <sheetData>
    <row r="1" spans="1:10" ht="59.25" customHeight="1">
      <c r="A1" s="75" t="s">
        <v>0</v>
      </c>
      <c r="B1" s="75"/>
      <c r="C1" s="75"/>
      <c r="D1" s="75"/>
      <c r="E1" s="75"/>
      <c r="F1" s="75"/>
      <c r="G1" s="75"/>
      <c r="H1" s="75"/>
      <c r="I1" s="75"/>
      <c r="J1" s="75"/>
    </row>
    <row r="2" spans="1:10" ht="18.75" customHeight="1">
      <c r="A2" s="75"/>
      <c r="B2" s="75"/>
      <c r="C2" s="75"/>
      <c r="D2" s="75"/>
      <c r="E2" s="75"/>
      <c r="F2" s="75"/>
      <c r="G2" s="75"/>
      <c r="H2" s="75"/>
      <c r="I2" s="75"/>
      <c r="J2" s="75"/>
    </row>
    <row r="3" spans="1:10" ht="33" customHeight="1">
      <c r="A3" s="76" t="s">
        <v>242</v>
      </c>
      <c r="B3" s="77"/>
      <c r="C3" s="77"/>
      <c r="D3" s="77"/>
      <c r="E3" s="77"/>
      <c r="F3" s="77"/>
      <c r="G3" s="77"/>
      <c r="H3" s="77"/>
      <c r="I3" s="77"/>
      <c r="J3" s="77"/>
    </row>
    <row r="4" spans="1:10" ht="9.75" customHeight="1">
      <c r="A4" s="2"/>
      <c r="B4" s="2"/>
      <c r="C4" s="2"/>
      <c r="D4" s="2"/>
      <c r="E4" s="2"/>
      <c r="F4" s="2"/>
      <c r="G4" s="2"/>
      <c r="H4" s="3"/>
      <c r="I4" s="2" t="s">
        <v>1</v>
      </c>
      <c r="J4" s="2"/>
    </row>
    <row r="5" spans="1:10" ht="43">
      <c r="A5" s="78" t="s">
        <v>2</v>
      </c>
      <c r="B5" s="79"/>
      <c r="C5" s="4" t="s">
        <v>3</v>
      </c>
      <c r="D5" s="4"/>
      <c r="E5" s="4" t="s">
        <v>4</v>
      </c>
      <c r="F5" s="4" t="s">
        <v>5</v>
      </c>
      <c r="G5" s="4" t="s">
        <v>6</v>
      </c>
      <c r="H5" s="5" t="s">
        <v>7</v>
      </c>
      <c r="I5" s="4" t="s">
        <v>8</v>
      </c>
      <c r="J5" s="18" t="s">
        <v>9</v>
      </c>
    </row>
    <row r="6" spans="1:10" ht="40.5" customHeight="1">
      <c r="A6" s="6"/>
      <c r="B6" s="7"/>
      <c r="C6" s="80" t="s">
        <v>10</v>
      </c>
      <c r="D6" s="8"/>
      <c r="E6" s="9" t="s">
        <v>11</v>
      </c>
      <c r="F6" s="54">
        <v>47.3</v>
      </c>
      <c r="G6" s="54">
        <v>54.503000000000007</v>
      </c>
      <c r="H6" s="55" t="s">
        <v>12</v>
      </c>
      <c r="I6" s="17" t="str">
        <f>IF($G6&gt;0,"STATION ON STREAM",IF(AND($G6=0,$H6&gt;0),"STATION ON STANDBY","STATION ON SHUTDOWN"))</f>
        <v>STATION ON STREAM</v>
      </c>
      <c r="J6" s="56">
        <v>201.46</v>
      </c>
    </row>
    <row r="7" spans="1:10" ht="35.15" customHeight="1">
      <c r="A7" s="6"/>
      <c r="B7" s="7"/>
      <c r="C7" s="81"/>
      <c r="D7" s="12"/>
      <c r="E7" s="13" t="s">
        <v>13</v>
      </c>
      <c r="F7" s="14"/>
      <c r="G7" s="57">
        <f>G6</f>
        <v>54.503000000000007</v>
      </c>
      <c r="H7" s="15"/>
      <c r="I7" s="17"/>
      <c r="J7" s="19">
        <f>J6</f>
        <v>201.46</v>
      </c>
    </row>
    <row r="8" spans="1:10" ht="29.25" customHeight="1">
      <c r="A8" s="6"/>
      <c r="B8" s="7"/>
      <c r="C8" s="81"/>
      <c r="D8" s="12"/>
      <c r="E8" s="9" t="s">
        <v>19</v>
      </c>
      <c r="F8" s="10">
        <v>27</v>
      </c>
      <c r="G8" s="58">
        <v>20.395</v>
      </c>
      <c r="H8" s="16" t="s">
        <v>130</v>
      </c>
      <c r="I8" s="17" t="str">
        <f>IF($G8&gt;0,"STATION ON STREAM",IF(AND($G8=0,$H9&gt;0),"STATION ON STANDBY","STATION ON SHUTDOWN"))</f>
        <v>STATION ON STREAM</v>
      </c>
      <c r="J8" s="56">
        <v>113.66</v>
      </c>
    </row>
    <row r="9" spans="1:10" ht="35.15" customHeight="1">
      <c r="A9" s="6"/>
      <c r="B9" s="7"/>
      <c r="C9" s="81"/>
      <c r="D9" s="12"/>
      <c r="E9" s="9" t="s">
        <v>20</v>
      </c>
      <c r="F9" s="10">
        <v>15</v>
      </c>
      <c r="G9" s="58">
        <v>5.54</v>
      </c>
      <c r="H9" s="16" t="s">
        <v>38</v>
      </c>
      <c r="I9" s="17" t="str">
        <f t="shared" ref="I9:I13" si="0">IF($G9&gt;0,"STATION ON STREAM",IF(AND($G9=0,$H9&gt;0),"STATION ON STANDBY","STATION ON SHUTDOWN"))</f>
        <v>STATION ON STREAM</v>
      </c>
      <c r="J9" s="56">
        <v>90.38</v>
      </c>
    </row>
    <row r="10" spans="1:10" ht="35.15" customHeight="1">
      <c r="A10" s="6"/>
      <c r="B10" s="7"/>
      <c r="C10" s="81"/>
      <c r="D10" s="12"/>
      <c r="E10" s="9" t="s">
        <v>22</v>
      </c>
      <c r="F10" s="21">
        <v>15</v>
      </c>
      <c r="G10" s="58">
        <v>6.7430000000000003</v>
      </c>
      <c r="H10" s="16" t="s">
        <v>115</v>
      </c>
      <c r="I10" s="17" t="str">
        <f t="shared" si="0"/>
        <v>STATION ON STREAM</v>
      </c>
      <c r="J10" s="56">
        <v>64.06</v>
      </c>
    </row>
    <row r="11" spans="1:10" ht="35.15" customHeight="1">
      <c r="A11" s="6"/>
      <c r="B11" s="7"/>
      <c r="C11" s="81"/>
      <c r="D11" s="12"/>
      <c r="E11" s="9" t="s">
        <v>23</v>
      </c>
      <c r="F11" s="10">
        <v>38</v>
      </c>
      <c r="G11" s="58">
        <v>7.7249999999999996</v>
      </c>
      <c r="H11" s="16" t="s">
        <v>128</v>
      </c>
      <c r="I11" s="17" t="str">
        <f t="shared" si="0"/>
        <v>STATION ON STREAM</v>
      </c>
      <c r="J11" s="56">
        <v>24.875</v>
      </c>
    </row>
    <row r="12" spans="1:10" ht="35.15" customHeight="1">
      <c r="A12" s="6"/>
      <c r="B12" s="7"/>
      <c r="C12" s="81"/>
      <c r="D12" s="12"/>
      <c r="E12" s="9" t="s">
        <v>24</v>
      </c>
      <c r="F12" s="10">
        <v>0</v>
      </c>
      <c r="G12" s="58">
        <v>0</v>
      </c>
      <c r="H12" s="16" t="s">
        <v>129</v>
      </c>
      <c r="I12" s="17" t="str">
        <f t="shared" si="0"/>
        <v>STATION ON STANDBY</v>
      </c>
      <c r="J12" s="56">
        <v>0</v>
      </c>
    </row>
    <row r="13" spans="1:10" ht="35.15" customHeight="1">
      <c r="A13" s="6"/>
      <c r="B13" s="7"/>
      <c r="C13" s="81"/>
      <c r="D13" s="12"/>
      <c r="E13" s="9" t="s">
        <v>25</v>
      </c>
      <c r="F13" s="10">
        <v>97.24</v>
      </c>
      <c r="G13" s="58">
        <v>93.778000000000006</v>
      </c>
      <c r="H13" s="11" t="s">
        <v>131</v>
      </c>
      <c r="I13" s="17" t="str">
        <f t="shared" si="0"/>
        <v>STATION ON STREAM</v>
      </c>
      <c r="J13" s="56">
        <v>401.81</v>
      </c>
    </row>
    <row r="14" spans="1:10" ht="35.15" customHeight="1">
      <c r="A14" s="6"/>
      <c r="B14" s="7"/>
      <c r="C14" s="81"/>
      <c r="D14" s="12"/>
      <c r="E14" s="13" t="s">
        <v>13</v>
      </c>
      <c r="F14" s="14"/>
      <c r="G14" s="57">
        <f>SUM(G8:G13)</f>
        <v>134.18100000000001</v>
      </c>
      <c r="H14" s="15"/>
      <c r="I14" s="17"/>
      <c r="J14" s="19">
        <f>SUM(J8:J13)</f>
        <v>694.78500000000008</v>
      </c>
    </row>
    <row r="15" spans="1:10" ht="35.15" customHeight="1">
      <c r="A15" s="6"/>
      <c r="B15" s="7"/>
      <c r="C15" s="69"/>
      <c r="D15" s="8"/>
      <c r="E15" s="9" t="s">
        <v>27</v>
      </c>
      <c r="F15" s="21"/>
      <c r="G15" s="21">
        <v>58.4</v>
      </c>
      <c r="H15" s="11" t="s">
        <v>132</v>
      </c>
      <c r="I15" s="17" t="str">
        <f t="shared" ref="I15:I18" si="1">IF($G15&gt;0,"STATION ON STREAM",IF(AND($G15=0,$H15&gt;0),"STATION ON STANDBY","STATION ON SHUTDOWN"))</f>
        <v>STATION ON STREAM</v>
      </c>
      <c r="J15" s="17"/>
    </row>
    <row r="16" spans="1:10" ht="35.15" customHeight="1">
      <c r="A16" s="6"/>
      <c r="B16" s="7"/>
      <c r="C16" s="70"/>
      <c r="D16" s="12"/>
      <c r="E16" s="9" t="s">
        <v>29</v>
      </c>
      <c r="F16" s="21"/>
      <c r="G16" s="58">
        <v>10.583</v>
      </c>
      <c r="H16" s="11" t="s">
        <v>87</v>
      </c>
      <c r="I16" s="17" t="str">
        <f t="shared" si="1"/>
        <v>STATION ON STREAM</v>
      </c>
      <c r="J16" s="17"/>
    </row>
    <row r="17" spans="1:10" ht="35.15" customHeight="1">
      <c r="A17" s="6"/>
      <c r="B17" s="7"/>
      <c r="C17" s="70"/>
      <c r="D17" s="12"/>
      <c r="E17" s="9" t="s">
        <v>31</v>
      </c>
      <c r="F17" s="21"/>
      <c r="G17" s="58">
        <v>0.04</v>
      </c>
      <c r="H17" s="11" t="s">
        <v>133</v>
      </c>
      <c r="I17" s="17" t="str">
        <f t="shared" si="1"/>
        <v>STATION ON STREAM</v>
      </c>
      <c r="J17" s="17"/>
    </row>
    <row r="18" spans="1:10" ht="35.15" customHeight="1">
      <c r="A18" s="6"/>
      <c r="B18" s="7"/>
      <c r="C18" s="70"/>
      <c r="D18" s="12"/>
      <c r="E18" s="9" t="s">
        <v>33</v>
      </c>
      <c r="F18" s="21"/>
      <c r="G18" s="58">
        <v>30.558</v>
      </c>
      <c r="H18" s="11" t="s">
        <v>134</v>
      </c>
      <c r="I18" s="17" t="str">
        <f t="shared" si="1"/>
        <v>STATION ON STREAM</v>
      </c>
      <c r="J18" s="17"/>
    </row>
    <row r="19" spans="1:10" ht="34.5" customHeight="1">
      <c r="A19" s="72"/>
      <c r="B19" s="73"/>
      <c r="C19" s="74"/>
      <c r="D19" s="12"/>
      <c r="E19" s="17" t="s">
        <v>47</v>
      </c>
      <c r="F19" s="49"/>
      <c r="G19" s="59">
        <v>0</v>
      </c>
      <c r="H19" s="16" t="s">
        <v>45</v>
      </c>
      <c r="I19" s="17" t="str">
        <f t="shared" ref="I19:I20" si="2">IF($G19&gt;0,"STATION ON STREAM",IF(AND($G19=0,$H19&gt;0),"STATION ON STANDBY","STATION ON SHUTDOWN"))</f>
        <v>STATION ON STANDBY</v>
      </c>
      <c r="J19" s="17"/>
    </row>
    <row r="20" spans="1:10" ht="34.5" customHeight="1">
      <c r="A20" s="72"/>
      <c r="B20" s="73"/>
      <c r="C20" s="74"/>
      <c r="D20" s="12"/>
      <c r="E20" s="17" t="s">
        <v>49</v>
      </c>
      <c r="F20" s="49"/>
      <c r="G20" s="59">
        <v>0</v>
      </c>
      <c r="H20" s="16" t="s">
        <v>45</v>
      </c>
      <c r="I20" s="17" t="str">
        <f t="shared" si="2"/>
        <v>STATION ON STANDBY</v>
      </c>
      <c r="J20" s="17"/>
    </row>
    <row r="21" spans="1:10" ht="35.15" customHeight="1">
      <c r="A21" s="72"/>
      <c r="B21" s="73"/>
      <c r="C21" s="71"/>
      <c r="D21" s="12"/>
      <c r="E21" s="13" t="s">
        <v>13</v>
      </c>
      <c r="F21" s="14"/>
      <c r="G21" s="60">
        <f>SUM(G15:G20)</f>
        <v>99.581000000000017</v>
      </c>
      <c r="H21" s="20"/>
      <c r="I21" s="17"/>
      <c r="J21" s="17"/>
    </row>
    <row r="22" spans="1:10" ht="35.15" customHeight="1">
      <c r="A22" s="72"/>
      <c r="B22" s="73"/>
      <c r="C22" s="68"/>
      <c r="D22" s="12"/>
      <c r="E22" s="9" t="s">
        <v>50</v>
      </c>
      <c r="F22" s="21"/>
      <c r="G22" s="21">
        <v>1.86</v>
      </c>
      <c r="H22" s="21" t="s">
        <v>12</v>
      </c>
      <c r="I22" s="17" t="str">
        <f>IF($G22&gt;0,"STATION ON STREAM",IF(AND($G22=0,$H22&gt;0),"STATION ON STANDBY","STATION ON SHUTDOWN"))</f>
        <v>STATION ON STREAM</v>
      </c>
      <c r="J22" s="17"/>
    </row>
    <row r="23" spans="1:10" ht="35.15" customHeight="1">
      <c r="A23" s="72"/>
      <c r="B23" s="73"/>
      <c r="C23" s="68"/>
      <c r="D23" s="12"/>
      <c r="E23" s="13" t="s">
        <v>13</v>
      </c>
      <c r="F23" s="14"/>
      <c r="G23" s="61">
        <f>SUM(G22)</f>
        <v>1.86</v>
      </c>
      <c r="H23" s="23"/>
      <c r="I23" s="17"/>
      <c r="J23" s="17"/>
    </row>
    <row r="24" spans="1:10" ht="35.15" customHeight="1">
      <c r="A24" s="6"/>
      <c r="B24" s="24"/>
      <c r="C24" s="84" t="s">
        <v>51</v>
      </c>
      <c r="D24" s="12"/>
      <c r="E24" s="9" t="s">
        <v>52</v>
      </c>
      <c r="F24" s="50">
        <v>49</v>
      </c>
      <c r="G24" s="62">
        <v>49.472999999999999</v>
      </c>
      <c r="H24" s="22">
        <v>32</v>
      </c>
      <c r="I24" s="17" t="str">
        <f t="shared" ref="I24:I27" si="3">IF($G24&gt;0,"STATION ON STREAM",IF(AND($G24=0,$H24&gt;0),"STATION ON STANDBY","STATION ON SHUTDOWN"))</f>
        <v>STATION ON STREAM</v>
      </c>
      <c r="J24" s="17"/>
    </row>
    <row r="25" spans="1:10" ht="35.15" customHeight="1">
      <c r="A25" s="25"/>
      <c r="B25" s="24"/>
      <c r="C25" s="85"/>
      <c r="D25" s="12"/>
      <c r="E25" s="9" t="s">
        <v>53</v>
      </c>
      <c r="F25" s="50">
        <v>1</v>
      </c>
      <c r="G25" s="62">
        <v>0.83099999999999996</v>
      </c>
      <c r="H25" s="22" t="s">
        <v>54</v>
      </c>
      <c r="I25" s="17" t="str">
        <f t="shared" si="3"/>
        <v>STATION ON STREAM</v>
      </c>
      <c r="J25" s="17"/>
    </row>
    <row r="26" spans="1:10" ht="35.15" customHeight="1">
      <c r="A26" s="25"/>
      <c r="B26" s="24"/>
      <c r="C26" s="85"/>
      <c r="D26" s="8"/>
      <c r="E26" s="9" t="s">
        <v>55</v>
      </c>
      <c r="F26" s="50">
        <v>187</v>
      </c>
      <c r="G26" s="62">
        <v>188.77600000000001</v>
      </c>
      <c r="H26" s="22" t="s">
        <v>96</v>
      </c>
      <c r="I26" s="17" t="str">
        <f t="shared" si="3"/>
        <v>STATION ON STREAM</v>
      </c>
      <c r="J26" s="42"/>
    </row>
    <row r="27" spans="1:10" ht="35.15" customHeight="1">
      <c r="A27" s="25"/>
      <c r="B27" s="24"/>
      <c r="C27" s="86"/>
      <c r="D27" s="12"/>
      <c r="E27" s="9" t="s">
        <v>57</v>
      </c>
      <c r="F27" s="50">
        <v>0.3</v>
      </c>
      <c r="G27" s="62">
        <v>0.39200000000000002</v>
      </c>
      <c r="H27" s="22" t="s">
        <v>58</v>
      </c>
      <c r="I27" s="17" t="str">
        <f t="shared" si="3"/>
        <v>STATION ON STREAM</v>
      </c>
      <c r="J27" s="21">
        <v>0</v>
      </c>
    </row>
    <row r="28" spans="1:10" ht="35.15" customHeight="1">
      <c r="A28" s="25"/>
      <c r="B28" s="24"/>
      <c r="C28" s="87"/>
      <c r="D28" s="8"/>
      <c r="E28" s="13" t="s">
        <v>13</v>
      </c>
      <c r="F28" s="26"/>
      <c r="G28" s="57">
        <f>SUM(G24+G25+G26+G27)</f>
        <v>239.47200000000001</v>
      </c>
      <c r="H28" s="15"/>
      <c r="I28" s="17"/>
      <c r="J28" s="21"/>
    </row>
    <row r="29" spans="1:10" ht="35.15" customHeight="1">
      <c r="A29" s="25"/>
      <c r="B29" s="24"/>
      <c r="C29" s="84" t="s">
        <v>59</v>
      </c>
      <c r="D29" s="12"/>
      <c r="E29" s="9" t="s">
        <v>60</v>
      </c>
      <c r="F29" s="21">
        <v>148</v>
      </c>
      <c r="G29" s="58">
        <v>109.96</v>
      </c>
      <c r="H29" s="11">
        <v>40</v>
      </c>
      <c r="I29" s="17" t="str">
        <f>IF($G29&gt;0,"STATION ON STREAM",IF(AND($G29=0,$H29&gt;0),"STATION ON STANDBY","STATION ON SHUTDOWN"))</f>
        <v>STATION ON STREAM</v>
      </c>
      <c r="J29" s="21">
        <f>G35*4</f>
        <v>0</v>
      </c>
    </row>
    <row r="30" spans="1:10" ht="35.15" customHeight="1">
      <c r="A30" s="28"/>
      <c r="B30" s="29"/>
      <c r="C30" s="87"/>
      <c r="D30" s="12"/>
      <c r="E30" s="13" t="s">
        <v>13</v>
      </c>
      <c r="F30" s="14"/>
      <c r="G30" s="63">
        <f>SUM(G29)</f>
        <v>109.96</v>
      </c>
      <c r="H30" s="27"/>
      <c r="I30" s="17"/>
      <c r="J30" s="17"/>
    </row>
    <row r="31" spans="1:10" ht="35.15" customHeight="1">
      <c r="A31" s="25"/>
      <c r="B31" s="24"/>
      <c r="C31" s="30" t="s">
        <v>61</v>
      </c>
      <c r="D31" s="30"/>
      <c r="E31" s="13" t="s">
        <v>62</v>
      </c>
      <c r="F31" s="13"/>
      <c r="G31" s="66">
        <f>SUM(G7+G14+G21+G23+G28+G30)</f>
        <v>639.55700000000013</v>
      </c>
      <c r="H31" s="27"/>
      <c r="I31" s="17"/>
      <c r="J31" s="17"/>
    </row>
    <row r="32" spans="1:10" ht="34.5" customHeight="1">
      <c r="A32" s="32"/>
      <c r="B32" s="24"/>
      <c r="C32" s="84" t="s">
        <v>63</v>
      </c>
      <c r="D32" s="12"/>
      <c r="E32" s="9" t="s">
        <v>64</v>
      </c>
      <c r="F32" s="9"/>
      <c r="G32" s="67">
        <v>56.830300000000001</v>
      </c>
      <c r="H32" s="31" t="s">
        <v>65</v>
      </c>
      <c r="I32" s="17" t="str">
        <f>IF($G32&gt;0,"STATION ON STREAM",IF(AND($G32=0,$H32&gt;0),"STATION ON STANDBY","STATION ON SHUTDOWN"))</f>
        <v>STATION ON STREAM</v>
      </c>
      <c r="J32" s="17"/>
    </row>
    <row r="33" spans="1:11" ht="35.15" customHeight="1">
      <c r="A33" s="25"/>
      <c r="B33" s="24"/>
      <c r="C33" s="88"/>
      <c r="D33" s="8"/>
      <c r="E33" s="13" t="s">
        <v>13</v>
      </c>
      <c r="F33" s="14"/>
      <c r="G33" s="57">
        <f>SUM(G32)</f>
        <v>56.830300000000001</v>
      </c>
      <c r="H33" s="27"/>
      <c r="I33" s="17"/>
      <c r="J33" s="17"/>
    </row>
    <row r="34" spans="1:11" ht="35.15" customHeight="1">
      <c r="A34" s="25"/>
      <c r="B34" s="24"/>
      <c r="C34" s="84" t="s">
        <v>14</v>
      </c>
      <c r="D34" s="8"/>
      <c r="E34" s="9" t="s">
        <v>66</v>
      </c>
      <c r="F34" s="9"/>
      <c r="G34" s="9">
        <v>11.628</v>
      </c>
      <c r="H34" s="31" t="s">
        <v>67</v>
      </c>
      <c r="I34" s="17" t="str">
        <f>IF($G34&gt;0,"STATION ON STREAM",IF(AND($G34=0,$H34&gt;0),"STATION ON STANDBY","STATION ON SHUTDOWN"))</f>
        <v>STATION ON STREAM</v>
      </c>
      <c r="J34" s="17"/>
    </row>
    <row r="35" spans="1:11" ht="35.15" customHeight="1">
      <c r="A35" s="25"/>
      <c r="B35" s="24"/>
      <c r="C35" s="85"/>
      <c r="D35" s="12"/>
      <c r="E35" s="9" t="s">
        <v>68</v>
      </c>
      <c r="F35" s="9"/>
      <c r="G35" s="65">
        <v>0</v>
      </c>
      <c r="H35" s="31" t="s">
        <v>36</v>
      </c>
      <c r="I35" s="17" t="str">
        <f>IF($G35&gt;0,"STATION ON STREAM",IF(AND($G35=0,$H35&gt;0),"STATION ON STANDBY","STATION ON SHUTDOWN"))</f>
        <v>STATION ON STANDBY</v>
      </c>
      <c r="J35" s="17"/>
    </row>
    <row r="36" spans="1:11" ht="35.25" customHeight="1">
      <c r="A36" s="25"/>
      <c r="B36" s="24"/>
      <c r="C36" s="85"/>
      <c r="D36" s="12"/>
      <c r="E36" s="13" t="s">
        <v>13</v>
      </c>
      <c r="F36" s="14"/>
      <c r="G36" s="57">
        <f>SUM(G34:G35)</f>
        <v>11.628</v>
      </c>
      <c r="H36" s="27"/>
      <c r="I36" s="17"/>
      <c r="J36" s="17"/>
    </row>
    <row r="37" spans="1:11" ht="35.15" customHeight="1">
      <c r="A37" s="25"/>
      <c r="B37" s="24"/>
      <c r="C37" s="85"/>
      <c r="D37" s="12"/>
      <c r="E37" s="9" t="s">
        <v>69</v>
      </c>
      <c r="F37" s="9"/>
      <c r="G37" s="64">
        <v>0</v>
      </c>
      <c r="H37" s="31" t="s">
        <v>65</v>
      </c>
      <c r="I37" s="17" t="str">
        <f>IF($G37&gt;0,"STATION ON STREAM",IF(AND($G37=0,$H37&gt;0),"STATION ON STANDBY","STATION ON SHUTDOWN"))</f>
        <v>STATION ON STANDBY</v>
      </c>
      <c r="J37" s="17"/>
    </row>
    <row r="38" spans="1:11" ht="35.15" customHeight="1">
      <c r="A38" s="33" t="s">
        <v>70</v>
      </c>
      <c r="B38" s="24"/>
      <c r="C38" s="87"/>
      <c r="D38" s="12"/>
      <c r="E38" s="9" t="s">
        <v>71</v>
      </c>
      <c r="F38" s="9"/>
      <c r="G38" s="51">
        <v>0</v>
      </c>
      <c r="H38" s="31" t="s">
        <v>136</v>
      </c>
      <c r="I38" s="17" t="str">
        <f>IF($G38&gt;0,"STATION ON STREAM",IF(AND($G38=0,$H38&gt;0),"STATION ON STANDBY","STATION ON SHUTDOWN"))</f>
        <v>STATION ON STANDBY</v>
      </c>
      <c r="J38" s="17"/>
    </row>
    <row r="39" spans="1:11" ht="35.15" customHeight="1">
      <c r="A39" s="25"/>
      <c r="B39" s="24"/>
      <c r="C39" s="68"/>
      <c r="D39" s="12"/>
      <c r="E39" s="9" t="s">
        <v>72</v>
      </c>
      <c r="F39" s="9"/>
      <c r="G39" s="64">
        <v>0</v>
      </c>
      <c r="H39" s="31" t="s">
        <v>73</v>
      </c>
      <c r="I39" s="17" t="str">
        <f>IF($G39&gt;0,"STATION ON STREAM",IF(AND($G39=0,$H39&gt;0),"STATION ON STANDBY","STATION ON SHUTDOWN"))</f>
        <v>STATION ON STANDBY</v>
      </c>
      <c r="J39" s="17"/>
    </row>
    <row r="40" spans="1:11" ht="35.15" customHeight="1">
      <c r="A40" s="25"/>
      <c r="B40" s="24"/>
      <c r="C40" s="84" t="s">
        <v>74</v>
      </c>
      <c r="D40" s="8"/>
      <c r="E40" s="9" t="s">
        <v>75</v>
      </c>
      <c r="F40" s="9"/>
      <c r="G40" s="64">
        <v>1.8280000000000001</v>
      </c>
      <c r="H40" s="31" t="s">
        <v>97</v>
      </c>
      <c r="I40" s="17" t="str">
        <f>IF($G40&gt;0,"STATION ON STREAM",IF(AND($G40=0,$H40&gt;0),"STATION ON STANDBY","STATION ON SHUTDOWN"))</f>
        <v>STATION ON STREAM</v>
      </c>
      <c r="J40" s="17"/>
      <c r="K40" s="43"/>
    </row>
    <row r="41" spans="1:11" ht="35.15" customHeight="1">
      <c r="A41" s="25"/>
      <c r="B41" s="24"/>
      <c r="C41" s="88"/>
      <c r="D41" s="8"/>
      <c r="E41" s="13" t="s">
        <v>13</v>
      </c>
      <c r="F41" s="14"/>
      <c r="G41" s="57">
        <f>SUM(G37:G40)</f>
        <v>1.8280000000000001</v>
      </c>
      <c r="H41" s="27"/>
      <c r="I41" s="17"/>
      <c r="J41" s="17"/>
      <c r="K41" s="44"/>
    </row>
    <row r="42" spans="1:11" ht="35.15" customHeight="1">
      <c r="A42" s="32"/>
      <c r="B42" s="24"/>
      <c r="C42" s="69" t="s">
        <v>51</v>
      </c>
      <c r="D42" s="8"/>
      <c r="E42" s="9" t="s">
        <v>77</v>
      </c>
      <c r="F42" s="9"/>
      <c r="G42" s="52">
        <v>1.4990000000000001</v>
      </c>
      <c r="H42" s="35">
        <v>44</v>
      </c>
      <c r="I42" s="17" t="str">
        <f t="shared" ref="I42:I43" si="4">IF($G42&gt;0,"STATION ON STREAM",IF(AND($G42=0,$H42&gt;0),"STATION ON STANDBY","STATION ON SHUTDOWN"))</f>
        <v>STATION ON STREAM</v>
      </c>
      <c r="J42" s="42"/>
    </row>
    <row r="43" spans="1:11" ht="35.15" customHeight="1">
      <c r="A43" s="32"/>
      <c r="B43" s="24"/>
      <c r="C43" s="89"/>
      <c r="D43" s="8"/>
      <c r="E43" s="9" t="s">
        <v>78</v>
      </c>
      <c r="F43" s="9"/>
      <c r="G43" s="53">
        <v>0</v>
      </c>
      <c r="H43" s="35">
        <v>0</v>
      </c>
      <c r="I43" s="17" t="str">
        <f t="shared" si="4"/>
        <v>STATION ON SHUTDOWN</v>
      </c>
      <c r="J43" s="17"/>
    </row>
    <row r="44" spans="1:11" ht="35.15" customHeight="1">
      <c r="A44" s="36"/>
      <c r="B44" s="36"/>
      <c r="C44" s="89"/>
      <c r="D44" s="8"/>
      <c r="E44" s="9" t="s">
        <v>79</v>
      </c>
      <c r="F44" s="9"/>
      <c r="G44" s="53">
        <v>0</v>
      </c>
      <c r="H44" s="35">
        <v>15</v>
      </c>
      <c r="I44" s="17" t="str">
        <f>IF($G45&gt;0,"STATION ON STREAM",IF(AND($G45=0,$H44&gt;0),"STATION ON STANDBY","STATION ON SHUTDOWN"))</f>
        <v>STATION ON STANDBY</v>
      </c>
      <c r="J44" s="42"/>
    </row>
    <row r="45" spans="1:11" ht="26.25" customHeight="1">
      <c r="A45" s="36"/>
      <c r="B45" s="36"/>
      <c r="C45" s="90"/>
      <c r="D45" s="8"/>
      <c r="E45" s="9" t="s">
        <v>80</v>
      </c>
      <c r="F45" s="9"/>
      <c r="G45" s="51">
        <v>0</v>
      </c>
      <c r="H45" s="35">
        <v>35</v>
      </c>
      <c r="I45" s="17" t="str">
        <f>IF($G45&gt;0,"STATION ON STREAM",IF(AND($G45=0,$H45&gt;0),"STATION ON STANDBY","STATION ON SHUTDOWN"))</f>
        <v>STATION ON STANDBY</v>
      </c>
      <c r="J45" s="42"/>
    </row>
    <row r="46" spans="1:11" ht="21" customHeight="1">
      <c r="A46" s="82"/>
      <c r="B46" s="83"/>
      <c r="C46" s="30"/>
      <c r="D46" s="12"/>
      <c r="E46" s="13" t="s">
        <v>13</v>
      </c>
      <c r="F46" s="14" t="s">
        <v>62</v>
      </c>
      <c r="G46" s="57">
        <f>SUM(G42:G45)</f>
        <v>1.4990000000000001</v>
      </c>
      <c r="H46" s="37"/>
      <c r="I46" s="14" t="s">
        <v>81</v>
      </c>
      <c r="J46" s="42"/>
    </row>
    <row r="47" spans="1:11" ht="25.5" customHeight="1">
      <c r="A47" s="38"/>
      <c r="B47" s="38"/>
      <c r="C47" s="30" t="s">
        <v>61</v>
      </c>
      <c r="D47" s="30"/>
      <c r="E47" s="13" t="s">
        <v>62</v>
      </c>
      <c r="F47" s="13" t="s">
        <v>62</v>
      </c>
      <c r="G47" s="57">
        <f>SUM(G33+G36+G41+G46)</f>
        <v>71.785300000000007</v>
      </c>
      <c r="H47" s="37"/>
      <c r="I47" s="13" t="s">
        <v>62</v>
      </c>
      <c r="J47" s="45"/>
    </row>
    <row r="48" spans="1:11" ht="18.5">
      <c r="A48" s="38"/>
      <c r="B48" s="38"/>
      <c r="C48" s="30" t="s">
        <v>82</v>
      </c>
      <c r="D48" s="30"/>
      <c r="E48" s="13" t="s">
        <v>62</v>
      </c>
      <c r="F48" s="13" t="s">
        <v>62</v>
      </c>
      <c r="G48" s="66">
        <f>SUM(G31+G47)</f>
        <v>711.34230000000014</v>
      </c>
      <c r="H48" s="39"/>
      <c r="I48" s="46"/>
      <c r="J48" s="47">
        <f>J14+J47+J7</f>
        <v>896.24500000000012</v>
      </c>
    </row>
    <row r="49" spans="1:10" ht="18.5">
      <c r="A49" s="38"/>
      <c r="B49" s="38"/>
      <c r="C49" s="34"/>
      <c r="D49" s="34"/>
      <c r="E49" s="34"/>
      <c r="F49" s="40"/>
      <c r="G49" s="40"/>
      <c r="H49" s="41"/>
      <c r="I49" s="40"/>
      <c r="J49" s="48"/>
    </row>
    <row r="50" spans="1:10" ht="18.5">
      <c r="C50" s="34"/>
      <c r="D50" s="34"/>
      <c r="E50" s="34"/>
      <c r="F50" s="34"/>
      <c r="G50" s="40"/>
      <c r="H50" s="41"/>
      <c r="I50" s="34"/>
      <c r="J50" s="34"/>
    </row>
  </sheetData>
  <sheetProtection formatCells="0" formatColumns="0" formatRows="0" insertColumns="0" insertRows="0"/>
  <mergeCells count="15">
    <mergeCell ref="C15:C18"/>
    <mergeCell ref="A19:B23"/>
    <mergeCell ref="C19:C21"/>
    <mergeCell ref="A1:J2"/>
    <mergeCell ref="A3:J3"/>
    <mergeCell ref="A5:B5"/>
    <mergeCell ref="C6:C7"/>
    <mergeCell ref="C8:C14"/>
    <mergeCell ref="A46:B46"/>
    <mergeCell ref="C24:C28"/>
    <mergeCell ref="C29:C30"/>
    <mergeCell ref="C32:C33"/>
    <mergeCell ref="C34:C38"/>
    <mergeCell ref="C40:C41"/>
    <mergeCell ref="C42:C45"/>
  </mergeCells>
  <printOptions horizontalCentered="1"/>
  <pageMargins left="0.196850393700787" right="0.196850393700787" top="0" bottom="0" header="0.118110236220472" footer="0.118110236220472"/>
  <pageSetup paperSize="9" scale="40" fitToHeight="0" orientation="portrait" verticalDpi="300" r:id="rId1"/>
  <headerFooter alignWithMargins="0">
    <oddHeader>&amp;C&amp;KFFA500&amp;10&amp;"Calibri"Confidential: Internal Use Only</oddHeader>
    <oddFooter>&amp;C&amp;KFFA500&amp;10&amp;"Calibri"Confidential: Internal Use Only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F938F-4E30-41C6-B938-CEC9EAEAFEC7}">
  <sheetPr codeName="Sheet6">
    <pageSetUpPr fitToPage="1"/>
  </sheetPr>
  <dimension ref="A1:K50"/>
  <sheetViews>
    <sheetView showGridLines="0" tabSelected="1" view="pageBreakPreview" topLeftCell="A175" zoomScale="73" zoomScaleNormal="55" zoomScaleSheetLayoutView="73" zoomScalePageLayoutView="10" workbookViewId="0">
      <selection activeCell="A53" sqref="A50:XFD53"/>
    </sheetView>
  </sheetViews>
  <sheetFormatPr defaultColWidth="9" defaultRowHeight="14.5"/>
  <cols>
    <col min="1" max="1" width="15.26953125" customWidth="1"/>
    <col min="2" max="2" width="2.90625" customWidth="1"/>
    <col min="3" max="3" width="18.7265625" customWidth="1"/>
    <col min="4" max="4" width="29.7265625" customWidth="1"/>
    <col min="5" max="5" width="44.08984375" customWidth="1"/>
    <col min="6" max="6" width="22.26953125" customWidth="1"/>
    <col min="7" max="7" width="21" customWidth="1"/>
    <col min="8" max="8" width="23" style="1" customWidth="1"/>
    <col min="9" max="9" width="38.6328125" customWidth="1"/>
    <col min="10" max="10" width="20.36328125" customWidth="1"/>
    <col min="14" max="14" width="8.7265625" customWidth="1"/>
    <col min="15" max="15" width="8.08984375" customWidth="1"/>
    <col min="17" max="17" width="9.26953125" customWidth="1"/>
    <col min="21" max="21" width="9.08984375" customWidth="1"/>
  </cols>
  <sheetData>
    <row r="1" spans="1:10" ht="59.25" customHeight="1">
      <c r="A1" s="75" t="s">
        <v>0</v>
      </c>
      <c r="B1" s="75"/>
      <c r="C1" s="75"/>
      <c r="D1" s="75"/>
      <c r="E1" s="75"/>
      <c r="F1" s="75"/>
      <c r="G1" s="75"/>
      <c r="H1" s="75"/>
      <c r="I1" s="75"/>
      <c r="J1" s="75"/>
    </row>
    <row r="2" spans="1:10" ht="18.75" customHeight="1">
      <c r="A2" s="75"/>
      <c r="B2" s="75"/>
      <c r="C2" s="75"/>
      <c r="D2" s="75"/>
      <c r="E2" s="75"/>
      <c r="F2" s="75"/>
      <c r="G2" s="75"/>
      <c r="H2" s="75"/>
      <c r="I2" s="75"/>
      <c r="J2" s="75"/>
    </row>
    <row r="3" spans="1:10" ht="33" customHeight="1">
      <c r="A3" s="76" t="s">
        <v>242</v>
      </c>
      <c r="B3" s="77"/>
      <c r="C3" s="77"/>
      <c r="D3" s="77"/>
      <c r="E3" s="77"/>
      <c r="F3" s="77"/>
      <c r="G3" s="77"/>
      <c r="H3" s="77"/>
      <c r="I3" s="77"/>
      <c r="J3" s="77"/>
    </row>
    <row r="4" spans="1:10" ht="9.75" customHeight="1">
      <c r="A4" s="2"/>
      <c r="B4" s="2"/>
      <c r="C4" s="2"/>
      <c r="D4" s="2"/>
      <c r="E4" s="2"/>
      <c r="F4" s="2"/>
      <c r="G4" s="2"/>
      <c r="H4" s="3"/>
      <c r="I4" s="2" t="s">
        <v>1</v>
      </c>
      <c r="J4" s="2"/>
    </row>
    <row r="5" spans="1:10" ht="43">
      <c r="A5" s="78" t="s">
        <v>2</v>
      </c>
      <c r="B5" s="79"/>
      <c r="C5" s="4" t="s">
        <v>3</v>
      </c>
      <c r="D5" s="4"/>
      <c r="E5" s="4" t="s">
        <v>4</v>
      </c>
      <c r="F5" s="4" t="s">
        <v>5</v>
      </c>
      <c r="G5" s="4" t="s">
        <v>6</v>
      </c>
      <c r="H5" s="5" t="s">
        <v>7</v>
      </c>
      <c r="I5" s="4" t="s">
        <v>8</v>
      </c>
      <c r="J5" s="18" t="s">
        <v>9</v>
      </c>
    </row>
    <row r="6" spans="1:10" ht="40.5" customHeight="1">
      <c r="A6" s="6"/>
      <c r="B6" s="7"/>
      <c r="C6" s="80" t="s">
        <v>10</v>
      </c>
      <c r="D6" s="8"/>
      <c r="E6" s="9" t="s">
        <v>11</v>
      </c>
      <c r="F6" s="54">
        <v>47.3</v>
      </c>
      <c r="G6" s="54">
        <v>56.963000000000001</v>
      </c>
      <c r="H6" s="55" t="s">
        <v>12</v>
      </c>
      <c r="I6" s="17" t="str">
        <f>IF($G6&gt;0,"STATION ON STREAM",IF(AND($G6=0,$H6&gt;0),"STATION ON STANDBY","STATION ON SHUTDOWN"))</f>
        <v>STATION ON STREAM</v>
      </c>
      <c r="J6" s="56">
        <v>211.5</v>
      </c>
    </row>
    <row r="7" spans="1:10" ht="35.15" customHeight="1">
      <c r="A7" s="6"/>
      <c r="B7" s="7"/>
      <c r="C7" s="81"/>
      <c r="D7" s="12"/>
      <c r="E7" s="13" t="s">
        <v>13</v>
      </c>
      <c r="F7" s="14"/>
      <c r="G7" s="57">
        <f>G6</f>
        <v>56.963000000000001</v>
      </c>
      <c r="H7" s="15"/>
      <c r="I7" s="17"/>
      <c r="J7" s="19">
        <f>J6</f>
        <v>211.5</v>
      </c>
    </row>
    <row r="8" spans="1:10" ht="29.25" customHeight="1">
      <c r="A8" s="6"/>
      <c r="B8" s="7"/>
      <c r="C8" s="81"/>
      <c r="D8" s="12"/>
      <c r="E8" s="9" t="s">
        <v>19</v>
      </c>
      <c r="F8" s="10">
        <v>25</v>
      </c>
      <c r="G8" s="58">
        <v>23.106000000000002</v>
      </c>
      <c r="H8" s="16" t="s">
        <v>127</v>
      </c>
      <c r="I8" s="17" t="str">
        <f>IF($G8&gt;0,"STATION ON STREAM",IF(AND($G8=0,$H9&gt;0),"STATION ON STANDBY","STATION ON SHUTDOWN"))</f>
        <v>STATION ON STREAM</v>
      </c>
      <c r="J8" s="56">
        <v>108.63</v>
      </c>
    </row>
    <row r="9" spans="1:10" ht="35.15" customHeight="1">
      <c r="A9" s="6"/>
      <c r="B9" s="7"/>
      <c r="C9" s="81"/>
      <c r="D9" s="12"/>
      <c r="E9" s="9" t="s">
        <v>20</v>
      </c>
      <c r="F9" s="10">
        <v>12</v>
      </c>
      <c r="G9" s="58">
        <v>4.8579999999999997</v>
      </c>
      <c r="H9" s="16" t="s">
        <v>138</v>
      </c>
      <c r="I9" s="17" t="str">
        <f t="shared" ref="I9:I13" si="0">IF($G9&gt;0,"STATION ON STREAM",IF(AND($G9=0,$H9&gt;0),"STATION ON STANDBY","STATION ON SHUTDOWN"))</f>
        <v>STATION ON STREAM</v>
      </c>
      <c r="J9" s="56">
        <v>78.430000000000007</v>
      </c>
    </row>
    <row r="10" spans="1:10" ht="35.15" customHeight="1">
      <c r="A10" s="6"/>
      <c r="B10" s="7"/>
      <c r="C10" s="81"/>
      <c r="D10" s="12"/>
      <c r="E10" s="9" t="s">
        <v>22</v>
      </c>
      <c r="F10" s="21">
        <v>13</v>
      </c>
      <c r="G10" s="58">
        <v>13.489000000000001</v>
      </c>
      <c r="H10" s="16" t="s">
        <v>100</v>
      </c>
      <c r="I10" s="17" t="str">
        <f t="shared" si="0"/>
        <v>STATION ON STREAM</v>
      </c>
      <c r="J10" s="56">
        <v>82.39</v>
      </c>
    </row>
    <row r="11" spans="1:10" ht="35.15" customHeight="1">
      <c r="A11" s="6"/>
      <c r="B11" s="7"/>
      <c r="C11" s="81"/>
      <c r="D11" s="12"/>
      <c r="E11" s="9" t="s">
        <v>23</v>
      </c>
      <c r="F11" s="10">
        <v>25</v>
      </c>
      <c r="G11" s="58">
        <v>22.344999999999999</v>
      </c>
      <c r="H11" s="16" t="s">
        <v>137</v>
      </c>
      <c r="I11" s="17" t="str">
        <f t="shared" si="0"/>
        <v>STATION ON STREAM</v>
      </c>
      <c r="J11" s="56">
        <v>72.052083333333329</v>
      </c>
    </row>
    <row r="12" spans="1:10" ht="35.15" customHeight="1">
      <c r="A12" s="6"/>
      <c r="B12" s="7"/>
      <c r="C12" s="81"/>
      <c r="D12" s="12"/>
      <c r="E12" s="9" t="s">
        <v>24</v>
      </c>
      <c r="F12" s="10">
        <v>0</v>
      </c>
      <c r="G12" s="58">
        <v>0</v>
      </c>
      <c r="H12" s="16" t="s">
        <v>16</v>
      </c>
      <c r="I12" s="17" t="str">
        <f t="shared" si="0"/>
        <v>STATION ON STANDBY</v>
      </c>
      <c r="J12" s="56">
        <v>0</v>
      </c>
    </row>
    <row r="13" spans="1:10" ht="35.15" customHeight="1">
      <c r="A13" s="6"/>
      <c r="B13" s="7"/>
      <c r="C13" s="81"/>
      <c r="D13" s="12"/>
      <c r="E13" s="9" t="s">
        <v>25</v>
      </c>
      <c r="F13" s="10">
        <v>94.54</v>
      </c>
      <c r="G13" s="58">
        <v>94.975999999999999</v>
      </c>
      <c r="H13" s="11" t="s">
        <v>131</v>
      </c>
      <c r="I13" s="17" t="str">
        <f t="shared" si="0"/>
        <v>STATION ON STREAM</v>
      </c>
      <c r="J13" s="56">
        <v>404.96</v>
      </c>
    </row>
    <row r="14" spans="1:10" ht="35.15" customHeight="1">
      <c r="A14" s="6"/>
      <c r="B14" s="7"/>
      <c r="C14" s="81"/>
      <c r="D14" s="12"/>
      <c r="E14" s="13" t="s">
        <v>13</v>
      </c>
      <c r="F14" s="14"/>
      <c r="G14" s="57">
        <f>SUM(G8:G13)</f>
        <v>158.774</v>
      </c>
      <c r="H14" s="15"/>
      <c r="I14" s="17"/>
      <c r="J14" s="19">
        <f>SUM(J8:J13)</f>
        <v>746.46208333333334</v>
      </c>
    </row>
    <row r="15" spans="1:10" ht="35.15" customHeight="1">
      <c r="A15" s="6"/>
      <c r="B15" s="7"/>
      <c r="C15" s="69"/>
      <c r="D15" s="8"/>
      <c r="E15" s="9" t="s">
        <v>27</v>
      </c>
      <c r="F15" s="21"/>
      <c r="G15" s="21">
        <v>61.1</v>
      </c>
      <c r="H15" s="11" t="s">
        <v>139</v>
      </c>
      <c r="I15" s="17" t="str">
        <f t="shared" ref="I15:I18" si="1">IF($G15&gt;0,"STATION ON STREAM",IF(AND($G15=0,$H15&gt;0),"STATION ON STANDBY","STATION ON SHUTDOWN"))</f>
        <v>STATION ON STREAM</v>
      </c>
      <c r="J15" s="17"/>
    </row>
    <row r="16" spans="1:10" ht="35.15" customHeight="1">
      <c r="A16" s="6"/>
      <c r="B16" s="7"/>
      <c r="C16" s="70"/>
      <c r="D16" s="12"/>
      <c r="E16" s="9" t="s">
        <v>29</v>
      </c>
      <c r="F16" s="21"/>
      <c r="G16" s="58">
        <v>10.997999999999999</v>
      </c>
      <c r="H16" s="11" t="s">
        <v>30</v>
      </c>
      <c r="I16" s="17" t="str">
        <f t="shared" si="1"/>
        <v>STATION ON STREAM</v>
      </c>
      <c r="J16" s="17"/>
    </row>
    <row r="17" spans="1:10" ht="35.15" customHeight="1">
      <c r="A17" s="6"/>
      <c r="B17" s="7"/>
      <c r="C17" s="70"/>
      <c r="D17" s="12"/>
      <c r="E17" s="9" t="s">
        <v>31</v>
      </c>
      <c r="F17" s="21"/>
      <c r="G17" s="58">
        <v>0.114</v>
      </c>
      <c r="H17" s="11" t="s">
        <v>92</v>
      </c>
      <c r="I17" s="17" t="str">
        <f t="shared" si="1"/>
        <v>STATION ON STREAM</v>
      </c>
      <c r="J17" s="17"/>
    </row>
    <row r="18" spans="1:10" ht="35.15" customHeight="1">
      <c r="A18" s="6"/>
      <c r="B18" s="7"/>
      <c r="C18" s="70"/>
      <c r="D18" s="12"/>
      <c r="E18" s="9" t="s">
        <v>33</v>
      </c>
      <c r="F18" s="21"/>
      <c r="G18" s="58">
        <v>32.677</v>
      </c>
      <c r="H18" s="11" t="s">
        <v>140</v>
      </c>
      <c r="I18" s="17" t="str">
        <f t="shared" si="1"/>
        <v>STATION ON STREAM</v>
      </c>
      <c r="J18" s="17"/>
    </row>
    <row r="19" spans="1:10" ht="34.5" customHeight="1">
      <c r="A19" s="72"/>
      <c r="B19" s="73"/>
      <c r="C19" s="74"/>
      <c r="D19" s="12"/>
      <c r="E19" s="17" t="s">
        <v>47</v>
      </c>
      <c r="F19" s="49"/>
      <c r="G19" s="59">
        <v>0</v>
      </c>
      <c r="H19" s="16" t="s">
        <v>108</v>
      </c>
      <c r="I19" s="17" t="str">
        <f t="shared" ref="I19:I20" si="2">IF($G19&gt;0,"STATION ON STREAM",IF(AND($G19=0,$H19&gt;0),"STATION ON STANDBY","STATION ON SHUTDOWN"))</f>
        <v>STATION ON STANDBY</v>
      </c>
      <c r="J19" s="17"/>
    </row>
    <row r="20" spans="1:10" ht="34.5" customHeight="1">
      <c r="A20" s="72"/>
      <c r="B20" s="73"/>
      <c r="C20" s="74"/>
      <c r="D20" s="12"/>
      <c r="E20" s="17" t="s">
        <v>49</v>
      </c>
      <c r="F20" s="49"/>
      <c r="G20" s="59">
        <v>0</v>
      </c>
      <c r="H20" s="16" t="s">
        <v>108</v>
      </c>
      <c r="I20" s="17" t="str">
        <f t="shared" si="2"/>
        <v>STATION ON STANDBY</v>
      </c>
      <c r="J20" s="17"/>
    </row>
    <row r="21" spans="1:10" ht="35.15" customHeight="1">
      <c r="A21" s="72"/>
      <c r="B21" s="73"/>
      <c r="C21" s="71"/>
      <c r="D21" s="12"/>
      <c r="E21" s="13" t="s">
        <v>13</v>
      </c>
      <c r="F21" s="14"/>
      <c r="G21" s="60">
        <f>SUM(G15:G20)</f>
        <v>104.88900000000001</v>
      </c>
      <c r="H21" s="20"/>
      <c r="I21" s="17"/>
      <c r="J21" s="17"/>
    </row>
    <row r="22" spans="1:10" ht="35.15" customHeight="1">
      <c r="A22" s="72"/>
      <c r="B22" s="73"/>
      <c r="C22" s="68"/>
      <c r="D22" s="12"/>
      <c r="E22" s="9" t="s">
        <v>50</v>
      </c>
      <c r="F22" s="21"/>
      <c r="G22" s="21">
        <v>1.89</v>
      </c>
      <c r="H22" s="21" t="s">
        <v>12</v>
      </c>
      <c r="I22" s="17" t="str">
        <f>IF($G22&gt;0,"STATION ON STREAM",IF(AND($G22=0,$H22&gt;0),"STATION ON STANDBY","STATION ON SHUTDOWN"))</f>
        <v>STATION ON STREAM</v>
      </c>
      <c r="J22" s="17"/>
    </row>
    <row r="23" spans="1:10" ht="35.15" customHeight="1">
      <c r="A23" s="72"/>
      <c r="B23" s="73"/>
      <c r="C23" s="68"/>
      <c r="D23" s="12"/>
      <c r="E23" s="13" t="s">
        <v>13</v>
      </c>
      <c r="F23" s="14"/>
      <c r="G23" s="61">
        <f>SUM(G22)</f>
        <v>1.89</v>
      </c>
      <c r="H23" s="23"/>
      <c r="I23" s="17"/>
      <c r="J23" s="17"/>
    </row>
    <row r="24" spans="1:10" ht="35.15" customHeight="1">
      <c r="A24" s="6"/>
      <c r="B24" s="24"/>
      <c r="C24" s="84" t="s">
        <v>51</v>
      </c>
      <c r="D24" s="12"/>
      <c r="E24" s="9" t="s">
        <v>52</v>
      </c>
      <c r="F24" s="50">
        <v>49</v>
      </c>
      <c r="G24" s="62">
        <v>49.825000000000003</v>
      </c>
      <c r="H24" s="22">
        <v>29</v>
      </c>
      <c r="I24" s="17" t="str">
        <f t="shared" ref="I24:I27" si="3">IF($G24&gt;0,"STATION ON STREAM",IF(AND($G24=0,$H24&gt;0),"STATION ON STANDBY","STATION ON SHUTDOWN"))</f>
        <v>STATION ON STREAM</v>
      </c>
      <c r="J24" s="17"/>
    </row>
    <row r="25" spans="1:10" ht="35.15" customHeight="1">
      <c r="A25" s="25"/>
      <c r="B25" s="24"/>
      <c r="C25" s="85"/>
      <c r="D25" s="12"/>
      <c r="E25" s="9" t="s">
        <v>53</v>
      </c>
      <c r="F25" s="50">
        <v>1</v>
      </c>
      <c r="G25" s="62">
        <v>0.58799999999999997</v>
      </c>
      <c r="H25" s="22" t="s">
        <v>54</v>
      </c>
      <c r="I25" s="17" t="str">
        <f t="shared" si="3"/>
        <v>STATION ON STREAM</v>
      </c>
      <c r="J25" s="17"/>
    </row>
    <row r="26" spans="1:10" ht="35.15" customHeight="1">
      <c r="A26" s="25"/>
      <c r="B26" s="24"/>
      <c r="C26" s="85"/>
      <c r="D26" s="8"/>
      <c r="E26" s="9" t="s">
        <v>55</v>
      </c>
      <c r="F26" s="50">
        <v>179.33</v>
      </c>
      <c r="G26" s="62">
        <v>188.01499999999999</v>
      </c>
      <c r="H26" s="22" t="s">
        <v>56</v>
      </c>
      <c r="I26" s="17" t="str">
        <f t="shared" si="3"/>
        <v>STATION ON STREAM</v>
      </c>
      <c r="J26" s="42"/>
    </row>
    <row r="27" spans="1:10" ht="35.15" customHeight="1">
      <c r="A27" s="25"/>
      <c r="B27" s="24"/>
      <c r="C27" s="86"/>
      <c r="D27" s="12"/>
      <c r="E27" s="9" t="s">
        <v>57</v>
      </c>
      <c r="F27" s="50">
        <v>0.3</v>
      </c>
      <c r="G27" s="62">
        <v>0.40300000000000002</v>
      </c>
      <c r="H27" s="22" t="s">
        <v>58</v>
      </c>
      <c r="I27" s="17" t="str">
        <f t="shared" si="3"/>
        <v>STATION ON STREAM</v>
      </c>
      <c r="J27" s="21">
        <v>0</v>
      </c>
    </row>
    <row r="28" spans="1:10" ht="35.15" customHeight="1">
      <c r="A28" s="25"/>
      <c r="B28" s="24"/>
      <c r="C28" s="87"/>
      <c r="D28" s="8"/>
      <c r="E28" s="13" t="s">
        <v>13</v>
      </c>
      <c r="F28" s="26"/>
      <c r="G28" s="57">
        <f>SUM(G24+G25+G26+G27)</f>
        <v>238.83099999999999</v>
      </c>
      <c r="H28" s="15"/>
      <c r="I28" s="17"/>
      <c r="J28" s="21"/>
    </row>
    <row r="29" spans="1:10" ht="35.15" customHeight="1">
      <c r="A29" s="25"/>
      <c r="B29" s="24"/>
      <c r="C29" s="84" t="s">
        <v>59</v>
      </c>
      <c r="D29" s="12"/>
      <c r="E29" s="9" t="s">
        <v>60</v>
      </c>
      <c r="F29" s="21">
        <v>110</v>
      </c>
      <c r="G29" s="58">
        <v>119.423</v>
      </c>
      <c r="H29" s="11">
        <v>38</v>
      </c>
      <c r="I29" s="17" t="str">
        <f>IF($G29&gt;0,"STATION ON STREAM",IF(AND($G29=0,$H29&gt;0),"STATION ON STANDBY","STATION ON SHUTDOWN"))</f>
        <v>STATION ON STREAM</v>
      </c>
      <c r="J29" s="21">
        <f>G35*4</f>
        <v>0</v>
      </c>
    </row>
    <row r="30" spans="1:10" ht="35.15" customHeight="1">
      <c r="A30" s="28"/>
      <c r="B30" s="29"/>
      <c r="C30" s="87"/>
      <c r="D30" s="12"/>
      <c r="E30" s="13" t="s">
        <v>13</v>
      </c>
      <c r="F30" s="14"/>
      <c r="G30" s="63">
        <f>SUM(G29)</f>
        <v>119.423</v>
      </c>
      <c r="H30" s="27"/>
      <c r="I30" s="17"/>
      <c r="J30" s="17"/>
    </row>
    <row r="31" spans="1:10" ht="35.15" customHeight="1">
      <c r="A31" s="25"/>
      <c r="B31" s="24"/>
      <c r="C31" s="30" t="s">
        <v>61</v>
      </c>
      <c r="D31" s="30"/>
      <c r="E31" s="13" t="s">
        <v>62</v>
      </c>
      <c r="F31" s="13"/>
      <c r="G31" s="66">
        <f>SUM(G7+G14+G21+G23+G28+G30)</f>
        <v>680.77</v>
      </c>
      <c r="H31" s="27"/>
      <c r="I31" s="17"/>
      <c r="J31" s="17"/>
    </row>
    <row r="32" spans="1:10" ht="34.5" customHeight="1">
      <c r="A32" s="32"/>
      <c r="B32" s="24"/>
      <c r="C32" s="84" t="s">
        <v>63</v>
      </c>
      <c r="D32" s="12"/>
      <c r="E32" s="9" t="s">
        <v>64</v>
      </c>
      <c r="F32" s="9"/>
      <c r="G32" s="67">
        <v>56.835000000000001</v>
      </c>
      <c r="H32" s="31" t="s">
        <v>65</v>
      </c>
      <c r="I32" s="17" t="str">
        <f>IF($G32&gt;0,"STATION ON STREAM",IF(AND($G32=0,$H32&gt;0),"STATION ON STANDBY","STATION ON SHUTDOWN"))</f>
        <v>STATION ON STREAM</v>
      </c>
      <c r="J32" s="17"/>
    </row>
    <row r="33" spans="1:11" ht="35.15" customHeight="1">
      <c r="A33" s="25"/>
      <c r="B33" s="24"/>
      <c r="C33" s="88"/>
      <c r="D33" s="8"/>
      <c r="E33" s="13" t="s">
        <v>13</v>
      </c>
      <c r="F33" s="14"/>
      <c r="G33" s="57">
        <f>SUM(G32)</f>
        <v>56.835000000000001</v>
      </c>
      <c r="H33" s="27"/>
      <c r="I33" s="17"/>
      <c r="J33" s="17"/>
    </row>
    <row r="34" spans="1:11" ht="35.15" customHeight="1">
      <c r="A34" s="25"/>
      <c r="B34" s="24"/>
      <c r="C34" s="84" t="s">
        <v>14</v>
      </c>
      <c r="D34" s="8"/>
      <c r="E34" s="9" t="s">
        <v>66</v>
      </c>
      <c r="F34" s="9"/>
      <c r="G34" s="9">
        <v>9.9420000000000002</v>
      </c>
      <c r="H34" s="31" t="s">
        <v>67</v>
      </c>
      <c r="I34" s="17" t="str">
        <f>IF($G34&gt;0,"STATION ON STREAM",IF(AND($G34=0,$H34&gt;0),"STATION ON STANDBY","STATION ON SHUTDOWN"))</f>
        <v>STATION ON STREAM</v>
      </c>
      <c r="J34" s="17"/>
    </row>
    <row r="35" spans="1:11" ht="35.15" customHeight="1">
      <c r="A35" s="25"/>
      <c r="B35" s="24"/>
      <c r="C35" s="85"/>
      <c r="D35" s="12"/>
      <c r="E35" s="9" t="s">
        <v>68</v>
      </c>
      <c r="F35" s="9"/>
      <c r="G35" s="65">
        <v>0</v>
      </c>
      <c r="H35" s="31" t="s">
        <v>36</v>
      </c>
      <c r="I35" s="17" t="str">
        <f>IF($G35&gt;0,"STATION ON STREAM",IF(AND($G35=0,$H35&gt;0),"STATION ON STANDBY","STATION ON SHUTDOWN"))</f>
        <v>STATION ON STANDBY</v>
      </c>
      <c r="J35" s="17"/>
    </row>
    <row r="36" spans="1:11" ht="35.25" customHeight="1">
      <c r="A36" s="25"/>
      <c r="B36" s="24"/>
      <c r="C36" s="85"/>
      <c r="D36" s="12"/>
      <c r="E36" s="13" t="s">
        <v>13</v>
      </c>
      <c r="F36" s="14"/>
      <c r="G36" s="57">
        <f>SUM(G34:G35)</f>
        <v>9.9420000000000002</v>
      </c>
      <c r="H36" s="27"/>
      <c r="I36" s="17"/>
      <c r="J36" s="17"/>
    </row>
    <row r="37" spans="1:11" ht="35.15" customHeight="1">
      <c r="A37" s="25"/>
      <c r="B37" s="24"/>
      <c r="C37" s="85"/>
      <c r="D37" s="12"/>
      <c r="E37" s="9" t="s">
        <v>69</v>
      </c>
      <c r="F37" s="9"/>
      <c r="G37" s="64">
        <v>0</v>
      </c>
      <c r="H37" s="31" t="s">
        <v>65</v>
      </c>
      <c r="I37" s="17" t="str">
        <f>IF($G37&gt;0,"STATION ON STREAM",IF(AND($G37=0,$H37&gt;0),"STATION ON STANDBY","STATION ON SHUTDOWN"))</f>
        <v>STATION ON STANDBY</v>
      </c>
      <c r="J37" s="17"/>
    </row>
    <row r="38" spans="1:11" ht="35.15" customHeight="1">
      <c r="A38" s="33" t="s">
        <v>70</v>
      </c>
      <c r="B38" s="24"/>
      <c r="C38" s="87"/>
      <c r="D38" s="12"/>
      <c r="E38" s="9" t="s">
        <v>71</v>
      </c>
      <c r="F38" s="9"/>
      <c r="G38" s="51">
        <v>0</v>
      </c>
      <c r="H38" s="31" t="s">
        <v>136</v>
      </c>
      <c r="I38" s="17" t="str">
        <f>IF($G38&gt;0,"STATION ON STREAM",IF(AND($G38=0,$H38&gt;0),"STATION ON STANDBY","STATION ON SHUTDOWN"))</f>
        <v>STATION ON STANDBY</v>
      </c>
      <c r="J38" s="17"/>
    </row>
    <row r="39" spans="1:11" ht="35.15" customHeight="1">
      <c r="A39" s="25"/>
      <c r="B39" s="24"/>
      <c r="C39" s="68"/>
      <c r="D39" s="12"/>
      <c r="E39" s="9" t="s">
        <v>72</v>
      </c>
      <c r="F39" s="9"/>
      <c r="G39" s="64">
        <v>0</v>
      </c>
      <c r="H39" s="31" t="s">
        <v>73</v>
      </c>
      <c r="I39" s="17" t="str">
        <f>IF($G39&gt;0,"STATION ON STREAM",IF(AND($G39=0,$H39&gt;0),"STATION ON STANDBY","STATION ON SHUTDOWN"))</f>
        <v>STATION ON STANDBY</v>
      </c>
      <c r="J39" s="17"/>
    </row>
    <row r="40" spans="1:11" ht="35.15" customHeight="1">
      <c r="A40" s="25"/>
      <c r="B40" s="24"/>
      <c r="C40" s="84" t="s">
        <v>74</v>
      </c>
      <c r="D40" s="8"/>
      <c r="E40" s="9" t="s">
        <v>75</v>
      </c>
      <c r="F40" s="9"/>
      <c r="G40" s="64">
        <v>1.825</v>
      </c>
      <c r="H40" s="31" t="s">
        <v>97</v>
      </c>
      <c r="I40" s="17" t="str">
        <f>IF($G40&gt;0,"STATION ON STREAM",IF(AND($G40=0,$H40&gt;0),"STATION ON STANDBY","STATION ON SHUTDOWN"))</f>
        <v>STATION ON STREAM</v>
      </c>
      <c r="J40" s="17"/>
      <c r="K40" s="43"/>
    </row>
    <row r="41" spans="1:11" ht="35.15" customHeight="1">
      <c r="A41" s="25"/>
      <c r="B41" s="24"/>
      <c r="C41" s="88"/>
      <c r="D41" s="8"/>
      <c r="E41" s="13" t="s">
        <v>13</v>
      </c>
      <c r="F41" s="14"/>
      <c r="G41" s="57">
        <f>SUM(G37:G40)</f>
        <v>1.825</v>
      </c>
      <c r="H41" s="27"/>
      <c r="I41" s="17"/>
      <c r="J41" s="17"/>
      <c r="K41" s="44"/>
    </row>
    <row r="42" spans="1:11" ht="35.15" customHeight="1">
      <c r="A42" s="32"/>
      <c r="B42" s="24"/>
      <c r="C42" s="69" t="s">
        <v>51</v>
      </c>
      <c r="D42" s="8"/>
      <c r="E42" s="9" t="s">
        <v>77</v>
      </c>
      <c r="F42" s="9"/>
      <c r="G42" s="52">
        <v>2.0750000000000002</v>
      </c>
      <c r="H42" s="35">
        <v>44</v>
      </c>
      <c r="I42" s="17" t="str">
        <f t="shared" ref="I42:I43" si="4">IF($G42&gt;0,"STATION ON STREAM",IF(AND($G42=0,$H42&gt;0),"STATION ON STANDBY","STATION ON SHUTDOWN"))</f>
        <v>STATION ON STREAM</v>
      </c>
      <c r="J42" s="42"/>
    </row>
    <row r="43" spans="1:11" ht="35.15" customHeight="1">
      <c r="A43" s="32"/>
      <c r="B43" s="24"/>
      <c r="C43" s="89"/>
      <c r="D43" s="8"/>
      <c r="E43" s="9" t="s">
        <v>78</v>
      </c>
      <c r="F43" s="9"/>
      <c r="G43" s="53">
        <v>0</v>
      </c>
      <c r="H43" s="35">
        <v>0</v>
      </c>
      <c r="I43" s="17" t="str">
        <f t="shared" si="4"/>
        <v>STATION ON SHUTDOWN</v>
      </c>
      <c r="J43" s="17"/>
    </row>
    <row r="44" spans="1:11" ht="35.15" customHeight="1">
      <c r="A44" s="36"/>
      <c r="B44" s="36"/>
      <c r="C44" s="89"/>
      <c r="D44" s="8"/>
      <c r="E44" s="9" t="s">
        <v>79</v>
      </c>
      <c r="F44" s="9"/>
      <c r="G44" s="53">
        <v>2.2400000000000002</v>
      </c>
      <c r="H44" s="35">
        <v>15</v>
      </c>
      <c r="I44" s="17" t="str">
        <f>IF($G45&gt;0,"STATION ON STREAM",IF(AND($G45=0,$H44&gt;0),"STATION ON STANDBY","STATION ON SHUTDOWN"))</f>
        <v>STATION ON STANDBY</v>
      </c>
      <c r="J44" s="42"/>
    </row>
    <row r="45" spans="1:11" ht="26.25" customHeight="1">
      <c r="A45" s="36"/>
      <c r="B45" s="36"/>
      <c r="C45" s="90"/>
      <c r="D45" s="8"/>
      <c r="E45" s="9" t="s">
        <v>80</v>
      </c>
      <c r="F45" s="9"/>
      <c r="G45" s="51">
        <v>0</v>
      </c>
      <c r="H45" s="35">
        <v>35</v>
      </c>
      <c r="I45" s="17" t="str">
        <f>IF($G45&gt;0,"STATION ON STREAM",IF(AND($G45=0,$H45&gt;0),"STATION ON STANDBY","STATION ON SHUTDOWN"))</f>
        <v>STATION ON STANDBY</v>
      </c>
      <c r="J45" s="42"/>
    </row>
    <row r="46" spans="1:11" ht="21" customHeight="1">
      <c r="A46" s="82"/>
      <c r="B46" s="83"/>
      <c r="C46" s="30"/>
      <c r="D46" s="12"/>
      <c r="E46" s="13" t="s">
        <v>13</v>
      </c>
      <c r="F46" s="14" t="s">
        <v>62</v>
      </c>
      <c r="G46" s="57">
        <f>SUM(G42:G45)</f>
        <v>4.3150000000000004</v>
      </c>
      <c r="H46" s="37"/>
      <c r="I46" s="14" t="s">
        <v>81</v>
      </c>
      <c r="J46" s="42"/>
    </row>
    <row r="47" spans="1:11" ht="25.5" customHeight="1">
      <c r="A47" s="38"/>
      <c r="B47" s="38"/>
      <c r="C47" s="30" t="s">
        <v>61</v>
      </c>
      <c r="D47" s="30"/>
      <c r="E47" s="13" t="s">
        <v>62</v>
      </c>
      <c r="F47" s="13" t="s">
        <v>62</v>
      </c>
      <c r="G47" s="57">
        <f>SUM(G33+G36+G41+G46)</f>
        <v>72.917000000000002</v>
      </c>
      <c r="H47" s="37"/>
      <c r="I47" s="13" t="s">
        <v>62</v>
      </c>
      <c r="J47" s="45"/>
    </row>
    <row r="48" spans="1:11" ht="18.5">
      <c r="A48" s="38"/>
      <c r="B48" s="38"/>
      <c r="C48" s="30" t="s">
        <v>82</v>
      </c>
      <c r="D48" s="30"/>
      <c r="E48" s="13" t="s">
        <v>62</v>
      </c>
      <c r="F48" s="13" t="s">
        <v>62</v>
      </c>
      <c r="G48" s="66">
        <f>SUM(G31+G47)</f>
        <v>753.68700000000001</v>
      </c>
      <c r="H48" s="39"/>
      <c r="I48" s="46"/>
      <c r="J48" s="47">
        <f>J14+J47+J7</f>
        <v>957.96208333333334</v>
      </c>
    </row>
    <row r="49" spans="1:10" ht="18.5">
      <c r="A49" s="38"/>
      <c r="B49" s="38"/>
      <c r="C49" s="34"/>
      <c r="D49" s="34"/>
      <c r="E49" s="34"/>
      <c r="F49" s="40"/>
      <c r="G49" s="40"/>
      <c r="H49" s="41"/>
      <c r="I49" s="40"/>
      <c r="J49" s="48"/>
    </row>
    <row r="50" spans="1:10" ht="18.5">
      <c r="C50" s="34"/>
      <c r="D50" s="34"/>
      <c r="E50" s="34"/>
      <c r="F50" s="34"/>
      <c r="G50" s="40"/>
      <c r="H50" s="41"/>
      <c r="I50" s="34"/>
      <c r="J50" s="34"/>
    </row>
  </sheetData>
  <sheetProtection formatCells="0" formatColumns="0" formatRows="0" insertColumns="0" insertRows="0"/>
  <mergeCells count="15">
    <mergeCell ref="C15:C18"/>
    <mergeCell ref="A19:B23"/>
    <mergeCell ref="C19:C21"/>
    <mergeCell ref="A1:J2"/>
    <mergeCell ref="A3:J3"/>
    <mergeCell ref="A5:B5"/>
    <mergeCell ref="C6:C7"/>
    <mergeCell ref="C8:C14"/>
    <mergeCell ref="A46:B46"/>
    <mergeCell ref="C24:C28"/>
    <mergeCell ref="C29:C30"/>
    <mergeCell ref="C32:C33"/>
    <mergeCell ref="C34:C38"/>
    <mergeCell ref="C40:C41"/>
    <mergeCell ref="C42:C45"/>
  </mergeCells>
  <printOptions horizontalCentered="1"/>
  <pageMargins left="0.196850393700787" right="0.196850393700787" top="0" bottom="0" header="0.118110236220472" footer="0.118110236220472"/>
  <pageSetup paperSize="9" scale="40" fitToHeight="0" orientation="portrait" verticalDpi="300" r:id="rId1"/>
  <headerFooter alignWithMargins="0">
    <oddHeader>&amp;C&amp;KFFA500&amp;10&amp;"Calibri"Confidential: Internal Use Only</oddHeader>
    <oddFooter>&amp;C&amp;KFFA500&amp;10&amp;"Calibri"Confidential: Internal Use Only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16315-8626-4A47-86DD-EB8522D007B9}">
  <sheetPr codeName="Sheet7">
    <pageSetUpPr fitToPage="1"/>
  </sheetPr>
  <dimension ref="A1:K50"/>
  <sheetViews>
    <sheetView showGridLines="0" tabSelected="1" view="pageBreakPreview" topLeftCell="C188" zoomScale="73" zoomScaleNormal="55" zoomScaleSheetLayoutView="73" zoomScalePageLayoutView="10" workbookViewId="0">
      <selection activeCell="A53" sqref="A50:XFD53"/>
    </sheetView>
  </sheetViews>
  <sheetFormatPr defaultColWidth="9" defaultRowHeight="14.5"/>
  <cols>
    <col min="1" max="1" width="15.26953125" customWidth="1"/>
    <col min="2" max="2" width="2.90625" customWidth="1"/>
    <col min="3" max="3" width="18.7265625" customWidth="1"/>
    <col min="4" max="4" width="29.7265625" customWidth="1"/>
    <col min="5" max="5" width="44.08984375" customWidth="1"/>
    <col min="6" max="6" width="22.26953125" customWidth="1"/>
    <col min="7" max="7" width="21" customWidth="1"/>
    <col min="8" max="8" width="23" style="1" customWidth="1"/>
    <col min="9" max="9" width="38.6328125" customWidth="1"/>
    <col min="10" max="10" width="20.36328125" customWidth="1"/>
    <col min="14" max="14" width="8.7265625" customWidth="1"/>
    <col min="15" max="15" width="8.08984375" customWidth="1"/>
    <col min="17" max="17" width="9.26953125" customWidth="1"/>
    <col min="21" max="21" width="9.08984375" customWidth="1"/>
  </cols>
  <sheetData>
    <row r="1" spans="1:10" ht="59.25" customHeight="1">
      <c r="A1" s="75" t="s">
        <v>0</v>
      </c>
      <c r="B1" s="75"/>
      <c r="C1" s="75"/>
      <c r="D1" s="75"/>
      <c r="E1" s="75"/>
      <c r="F1" s="75"/>
      <c r="G1" s="75"/>
      <c r="H1" s="75"/>
      <c r="I1" s="75"/>
      <c r="J1" s="75"/>
    </row>
    <row r="2" spans="1:10" ht="18.75" customHeight="1">
      <c r="A2" s="75"/>
      <c r="B2" s="75"/>
      <c r="C2" s="75"/>
      <c r="D2" s="75"/>
      <c r="E2" s="75"/>
      <c r="F2" s="75"/>
      <c r="G2" s="75"/>
      <c r="H2" s="75"/>
      <c r="I2" s="75"/>
      <c r="J2" s="75"/>
    </row>
    <row r="3" spans="1:10" ht="33" customHeight="1">
      <c r="A3" s="76" t="s">
        <v>242</v>
      </c>
      <c r="B3" s="77"/>
      <c r="C3" s="77"/>
      <c r="D3" s="77"/>
      <c r="E3" s="77"/>
      <c r="F3" s="77"/>
      <c r="G3" s="77"/>
      <c r="H3" s="77"/>
      <c r="I3" s="77"/>
      <c r="J3" s="77"/>
    </row>
    <row r="4" spans="1:10" ht="9.75" customHeight="1">
      <c r="A4" s="2"/>
      <c r="B4" s="2"/>
      <c r="C4" s="2"/>
      <c r="D4" s="2"/>
      <c r="E4" s="2"/>
      <c r="F4" s="2"/>
      <c r="G4" s="2"/>
      <c r="H4" s="3"/>
      <c r="I4" s="2" t="s">
        <v>1</v>
      </c>
      <c r="J4" s="2"/>
    </row>
    <row r="5" spans="1:10" ht="43">
      <c r="A5" s="78" t="s">
        <v>2</v>
      </c>
      <c r="B5" s="79"/>
      <c r="C5" s="4" t="s">
        <v>3</v>
      </c>
      <c r="D5" s="4"/>
      <c r="E5" s="4" t="s">
        <v>4</v>
      </c>
      <c r="F5" s="4" t="s">
        <v>5</v>
      </c>
      <c r="G5" s="4" t="s">
        <v>6</v>
      </c>
      <c r="H5" s="5" t="s">
        <v>7</v>
      </c>
      <c r="I5" s="4" t="s">
        <v>8</v>
      </c>
      <c r="J5" s="18" t="s">
        <v>9</v>
      </c>
    </row>
    <row r="6" spans="1:10" ht="40.5" customHeight="1">
      <c r="A6" s="6"/>
      <c r="B6" s="7"/>
      <c r="C6" s="80" t="s">
        <v>10</v>
      </c>
      <c r="D6" s="8"/>
      <c r="E6" s="9" t="s">
        <v>11</v>
      </c>
      <c r="F6" s="54">
        <v>47.3</v>
      </c>
      <c r="G6" s="54">
        <v>55.532000000000004</v>
      </c>
      <c r="H6" s="55" t="s">
        <v>12</v>
      </c>
      <c r="I6" s="17" t="str">
        <f>IF($G6&gt;0,"STATION ON STREAM",IF(AND($G6=0,$H6&gt;0),"STATION ON STANDBY","STATION ON SHUTDOWN"))</f>
        <v>STATION ON STREAM</v>
      </c>
      <c r="J6" s="56">
        <v>234.43</v>
      </c>
    </row>
    <row r="7" spans="1:10" ht="35.15" customHeight="1">
      <c r="A7" s="6"/>
      <c r="B7" s="7"/>
      <c r="C7" s="81"/>
      <c r="D7" s="12"/>
      <c r="E7" s="13" t="s">
        <v>13</v>
      </c>
      <c r="F7" s="14"/>
      <c r="G7" s="57">
        <f>G6</f>
        <v>55.532000000000004</v>
      </c>
      <c r="H7" s="15"/>
      <c r="I7" s="17"/>
      <c r="J7" s="19">
        <f>J6</f>
        <v>234.43</v>
      </c>
    </row>
    <row r="8" spans="1:10" ht="29.25" customHeight="1">
      <c r="A8" s="6"/>
      <c r="B8" s="7"/>
      <c r="C8" s="81"/>
      <c r="D8" s="12"/>
      <c r="E8" s="9" t="s">
        <v>19</v>
      </c>
      <c r="F8" s="10">
        <v>25</v>
      </c>
      <c r="G8" s="58">
        <v>23.207999999999998</v>
      </c>
      <c r="H8" s="16" t="s">
        <v>144</v>
      </c>
      <c r="I8" s="17" t="str">
        <f>IF($G8&gt;0,"STATION ON STREAM",IF(AND($G8=0,$H9&gt;0),"STATION ON STANDBY","STATION ON SHUTDOWN"))</f>
        <v>STATION ON STREAM</v>
      </c>
      <c r="J8" s="56">
        <v>129.78</v>
      </c>
    </row>
    <row r="9" spans="1:10" ht="35.15" customHeight="1">
      <c r="A9" s="6"/>
      <c r="B9" s="7"/>
      <c r="C9" s="81"/>
      <c r="D9" s="12"/>
      <c r="E9" s="9" t="s">
        <v>20</v>
      </c>
      <c r="F9" s="10">
        <v>12</v>
      </c>
      <c r="G9" s="58">
        <v>5.202</v>
      </c>
      <c r="H9" s="16" t="s">
        <v>138</v>
      </c>
      <c r="I9" s="17" t="str">
        <f t="shared" ref="I9:I13" si="0">IF($G9&gt;0,"STATION ON STREAM",IF(AND($G9=0,$H9&gt;0),"STATION ON STANDBY","STATION ON SHUTDOWN"))</f>
        <v>STATION ON STREAM</v>
      </c>
      <c r="J9" s="56">
        <v>80.39</v>
      </c>
    </row>
    <row r="10" spans="1:10" ht="35.15" customHeight="1">
      <c r="A10" s="6"/>
      <c r="B10" s="7"/>
      <c r="C10" s="81"/>
      <c r="D10" s="12"/>
      <c r="E10" s="9" t="s">
        <v>22</v>
      </c>
      <c r="F10" s="21">
        <v>13</v>
      </c>
      <c r="G10" s="58">
        <v>19.59</v>
      </c>
      <c r="H10" s="16" t="s">
        <v>100</v>
      </c>
      <c r="I10" s="17" t="str">
        <f t="shared" si="0"/>
        <v>STATION ON STREAM</v>
      </c>
      <c r="J10" s="56">
        <v>83.74</v>
      </c>
    </row>
    <row r="11" spans="1:10" ht="35.15" customHeight="1">
      <c r="A11" s="6"/>
      <c r="B11" s="7"/>
      <c r="C11" s="81"/>
      <c r="D11" s="12"/>
      <c r="E11" s="9" t="s">
        <v>23</v>
      </c>
      <c r="F11" s="10">
        <v>25</v>
      </c>
      <c r="G11" s="58">
        <v>20.942</v>
      </c>
      <c r="H11" s="16" t="s">
        <v>143</v>
      </c>
      <c r="I11" s="17" t="str">
        <f t="shared" si="0"/>
        <v>STATION ON STREAM</v>
      </c>
      <c r="J11" s="56">
        <v>65.145833333333329</v>
      </c>
    </row>
    <row r="12" spans="1:10" ht="35.15" customHeight="1">
      <c r="A12" s="6"/>
      <c r="B12" s="7"/>
      <c r="C12" s="81"/>
      <c r="D12" s="12"/>
      <c r="E12" s="9" t="s">
        <v>24</v>
      </c>
      <c r="F12" s="10">
        <v>0</v>
      </c>
      <c r="G12" s="58">
        <v>0</v>
      </c>
      <c r="H12" s="16" t="s">
        <v>16</v>
      </c>
      <c r="I12" s="17" t="str">
        <f t="shared" si="0"/>
        <v>STATION ON STANDBY</v>
      </c>
      <c r="J12" s="56">
        <v>0</v>
      </c>
    </row>
    <row r="13" spans="1:10" ht="35.15" customHeight="1">
      <c r="A13" s="6"/>
      <c r="B13" s="7"/>
      <c r="C13" s="81"/>
      <c r="D13" s="12"/>
      <c r="E13" s="9" t="s">
        <v>25</v>
      </c>
      <c r="F13" s="10">
        <v>94.54</v>
      </c>
      <c r="G13" s="58">
        <v>94.355000000000004</v>
      </c>
      <c r="H13" s="11" t="s">
        <v>131</v>
      </c>
      <c r="I13" s="17" t="str">
        <f t="shared" si="0"/>
        <v>STATION ON STREAM</v>
      </c>
      <c r="J13" s="56">
        <v>401.96</v>
      </c>
    </row>
    <row r="14" spans="1:10" ht="35.15" customHeight="1">
      <c r="A14" s="6"/>
      <c r="B14" s="7"/>
      <c r="C14" s="81"/>
      <c r="D14" s="12"/>
      <c r="E14" s="13" t="s">
        <v>13</v>
      </c>
      <c r="F14" s="14"/>
      <c r="G14" s="57">
        <f>SUM(G8:G13)</f>
        <v>163.29700000000003</v>
      </c>
      <c r="H14" s="15"/>
      <c r="I14" s="17"/>
      <c r="J14" s="19">
        <f>SUM(J8:J13)</f>
        <v>761.01583333333338</v>
      </c>
    </row>
    <row r="15" spans="1:10" ht="35.15" customHeight="1">
      <c r="A15" s="6"/>
      <c r="B15" s="7"/>
      <c r="C15" s="69"/>
      <c r="D15" s="8"/>
      <c r="E15" s="9" t="s">
        <v>27</v>
      </c>
      <c r="F15" s="21"/>
      <c r="G15" s="21">
        <v>61.5</v>
      </c>
      <c r="H15" s="11" t="s">
        <v>28</v>
      </c>
      <c r="I15" s="17" t="str">
        <f t="shared" ref="I15:I18" si="1">IF($G15&gt;0,"STATION ON STREAM",IF(AND($G15=0,$H15&gt;0),"STATION ON STANDBY","STATION ON SHUTDOWN"))</f>
        <v>STATION ON STREAM</v>
      </c>
      <c r="J15" s="17"/>
    </row>
    <row r="16" spans="1:10" ht="35.15" customHeight="1">
      <c r="A16" s="6"/>
      <c r="B16" s="7"/>
      <c r="C16" s="70"/>
      <c r="D16" s="12"/>
      <c r="E16" s="9" t="s">
        <v>29</v>
      </c>
      <c r="F16" s="21"/>
      <c r="G16" s="58">
        <v>11.736000000000001</v>
      </c>
      <c r="H16" s="11" t="s">
        <v>145</v>
      </c>
      <c r="I16" s="17" t="str">
        <f t="shared" si="1"/>
        <v>STATION ON STREAM</v>
      </c>
      <c r="J16" s="17"/>
    </row>
    <row r="17" spans="1:10" ht="35.15" customHeight="1">
      <c r="A17" s="6"/>
      <c r="B17" s="7"/>
      <c r="C17" s="70"/>
      <c r="D17" s="12"/>
      <c r="E17" s="9" t="s">
        <v>31</v>
      </c>
      <c r="F17" s="21"/>
      <c r="G17" s="58">
        <v>2.5999999999999999E-2</v>
      </c>
      <c r="H17" s="11" t="s">
        <v>88</v>
      </c>
      <c r="I17" s="17" t="str">
        <f t="shared" si="1"/>
        <v>STATION ON STREAM</v>
      </c>
      <c r="J17" s="17"/>
    </row>
    <row r="18" spans="1:10" ht="35.15" customHeight="1">
      <c r="A18" s="6"/>
      <c r="B18" s="7"/>
      <c r="C18" s="70"/>
      <c r="D18" s="12"/>
      <c r="E18" s="9" t="s">
        <v>33</v>
      </c>
      <c r="F18" s="21"/>
      <c r="G18" s="58">
        <v>33.893999999999998</v>
      </c>
      <c r="H18" s="11" t="s">
        <v>34</v>
      </c>
      <c r="I18" s="17" t="str">
        <f t="shared" si="1"/>
        <v>STATION ON STREAM</v>
      </c>
      <c r="J18" s="17"/>
    </row>
    <row r="19" spans="1:10" ht="34.5" customHeight="1">
      <c r="A19" s="72"/>
      <c r="B19" s="73"/>
      <c r="C19" s="74"/>
      <c r="D19" s="12"/>
      <c r="E19" s="17" t="s">
        <v>47</v>
      </c>
      <c r="F19" s="49"/>
      <c r="G19" s="59">
        <v>0</v>
      </c>
      <c r="H19" s="16" t="s">
        <v>48</v>
      </c>
      <c r="I19" s="17" t="str">
        <f t="shared" ref="I19:I20" si="2">IF($G19&gt;0,"STATION ON STREAM",IF(AND($G19=0,$H19&gt;0),"STATION ON STANDBY","STATION ON SHUTDOWN"))</f>
        <v>STATION ON STANDBY</v>
      </c>
      <c r="J19" s="17"/>
    </row>
    <row r="20" spans="1:10" ht="34.5" customHeight="1">
      <c r="A20" s="72"/>
      <c r="B20" s="73"/>
      <c r="C20" s="74"/>
      <c r="D20" s="12"/>
      <c r="E20" s="17" t="s">
        <v>49</v>
      </c>
      <c r="F20" s="49"/>
      <c r="G20" s="59">
        <v>0.01</v>
      </c>
      <c r="H20" s="16" t="s">
        <v>108</v>
      </c>
      <c r="I20" s="17" t="str">
        <f t="shared" si="2"/>
        <v>STATION ON STREAM</v>
      </c>
      <c r="J20" s="17"/>
    </row>
    <row r="21" spans="1:10" ht="35.15" customHeight="1">
      <c r="A21" s="72"/>
      <c r="B21" s="73"/>
      <c r="C21" s="71"/>
      <c r="D21" s="12"/>
      <c r="E21" s="13" t="s">
        <v>13</v>
      </c>
      <c r="F21" s="14"/>
      <c r="G21" s="60">
        <f>SUM(G15:G20)</f>
        <v>107.16600000000001</v>
      </c>
      <c r="H21" s="20"/>
      <c r="I21" s="17"/>
      <c r="J21" s="17"/>
    </row>
    <row r="22" spans="1:10" ht="35.15" customHeight="1">
      <c r="A22" s="72"/>
      <c r="B22" s="73"/>
      <c r="C22" s="68"/>
      <c r="D22" s="12"/>
      <c r="E22" s="9" t="s">
        <v>50</v>
      </c>
      <c r="F22" s="21"/>
      <c r="G22" s="21">
        <v>1.88</v>
      </c>
      <c r="H22" s="21" t="s">
        <v>12</v>
      </c>
      <c r="I22" s="17" t="str">
        <f>IF($G22&gt;0,"STATION ON STREAM",IF(AND($G22=0,$H22&gt;0),"STATION ON STANDBY","STATION ON SHUTDOWN"))</f>
        <v>STATION ON STREAM</v>
      </c>
      <c r="J22" s="17"/>
    </row>
    <row r="23" spans="1:10" ht="35.15" customHeight="1">
      <c r="A23" s="72"/>
      <c r="B23" s="73"/>
      <c r="C23" s="68"/>
      <c r="D23" s="12"/>
      <c r="E23" s="13" t="s">
        <v>13</v>
      </c>
      <c r="F23" s="14"/>
      <c r="G23" s="61">
        <f>SUM(G22)</f>
        <v>1.88</v>
      </c>
      <c r="H23" s="23"/>
      <c r="I23" s="17"/>
      <c r="J23" s="17"/>
    </row>
    <row r="24" spans="1:10" ht="35.15" customHeight="1">
      <c r="A24" s="6"/>
      <c r="B24" s="24"/>
      <c r="C24" s="84" t="s">
        <v>51</v>
      </c>
      <c r="D24" s="12"/>
      <c r="E24" s="9" t="s">
        <v>52</v>
      </c>
      <c r="F24" s="50">
        <v>51</v>
      </c>
      <c r="G24" s="62">
        <v>50.965000000000003</v>
      </c>
      <c r="H24" s="22">
        <v>30</v>
      </c>
      <c r="I24" s="17" t="str">
        <f t="shared" ref="I24:I27" si="3">IF($G24&gt;0,"STATION ON STREAM",IF(AND($G24=0,$H24&gt;0),"STATION ON STANDBY","STATION ON SHUTDOWN"))</f>
        <v>STATION ON STREAM</v>
      </c>
      <c r="J24" s="17"/>
    </row>
    <row r="25" spans="1:10" ht="35.15" customHeight="1">
      <c r="A25" s="25"/>
      <c r="B25" s="24"/>
      <c r="C25" s="85"/>
      <c r="D25" s="12"/>
      <c r="E25" s="9" t="s">
        <v>53</v>
      </c>
      <c r="F25" s="50">
        <v>1</v>
      </c>
      <c r="G25" s="62">
        <v>0.58799999999999997</v>
      </c>
      <c r="H25" s="22" t="s">
        <v>54</v>
      </c>
      <c r="I25" s="17" t="str">
        <f t="shared" si="3"/>
        <v>STATION ON STREAM</v>
      </c>
      <c r="J25" s="17"/>
    </row>
    <row r="26" spans="1:10" ht="35.15" customHeight="1">
      <c r="A26" s="25"/>
      <c r="B26" s="24"/>
      <c r="C26" s="85"/>
      <c r="D26" s="8"/>
      <c r="E26" s="9" t="s">
        <v>55</v>
      </c>
      <c r="F26" s="50">
        <v>190</v>
      </c>
      <c r="G26" s="62">
        <v>189.375</v>
      </c>
      <c r="H26" s="22" t="s">
        <v>18</v>
      </c>
      <c r="I26" s="17" t="str">
        <f t="shared" si="3"/>
        <v>STATION ON STREAM</v>
      </c>
      <c r="J26" s="42"/>
    </row>
    <row r="27" spans="1:10" ht="35.15" customHeight="1">
      <c r="A27" s="25"/>
      <c r="B27" s="24"/>
      <c r="C27" s="86"/>
      <c r="D27" s="12"/>
      <c r="E27" s="9" t="s">
        <v>57</v>
      </c>
      <c r="F27" s="50">
        <v>0.3</v>
      </c>
      <c r="G27" s="62">
        <v>0.41599999999999998</v>
      </c>
      <c r="H27" s="22" t="s">
        <v>58</v>
      </c>
      <c r="I27" s="17" t="str">
        <f t="shared" si="3"/>
        <v>STATION ON STREAM</v>
      </c>
      <c r="J27" s="21">
        <v>0</v>
      </c>
    </row>
    <row r="28" spans="1:10" ht="35.15" customHeight="1">
      <c r="A28" s="25"/>
      <c r="B28" s="24"/>
      <c r="C28" s="87"/>
      <c r="D28" s="8"/>
      <c r="E28" s="13" t="s">
        <v>13</v>
      </c>
      <c r="F28" s="26"/>
      <c r="G28" s="57">
        <f>SUM(G24+G25+G26+G27)</f>
        <v>241.34399999999999</v>
      </c>
      <c r="H28" s="15"/>
      <c r="I28" s="17"/>
      <c r="J28" s="21"/>
    </row>
    <row r="29" spans="1:10" ht="35.15" customHeight="1">
      <c r="A29" s="25"/>
      <c r="B29" s="24"/>
      <c r="C29" s="84" t="s">
        <v>59</v>
      </c>
      <c r="D29" s="12"/>
      <c r="E29" s="9" t="s">
        <v>60</v>
      </c>
      <c r="F29" s="21">
        <v>96</v>
      </c>
      <c r="G29" s="58">
        <v>85.95</v>
      </c>
      <c r="H29" s="11">
        <v>39</v>
      </c>
      <c r="I29" s="17" t="str">
        <f>IF($G29&gt;0,"STATION ON STREAM",IF(AND($G29=0,$H29&gt;0),"STATION ON STANDBY","STATION ON SHUTDOWN"))</f>
        <v>STATION ON STREAM</v>
      </c>
      <c r="J29" s="21">
        <f>G35*4</f>
        <v>0</v>
      </c>
    </row>
    <row r="30" spans="1:10" ht="35.15" customHeight="1">
      <c r="A30" s="28"/>
      <c r="B30" s="29"/>
      <c r="C30" s="87"/>
      <c r="D30" s="12"/>
      <c r="E30" s="13" t="s">
        <v>13</v>
      </c>
      <c r="F30" s="14"/>
      <c r="G30" s="63">
        <f>SUM(G29)</f>
        <v>85.95</v>
      </c>
      <c r="H30" s="27"/>
      <c r="I30" s="17"/>
      <c r="J30" s="17"/>
    </row>
    <row r="31" spans="1:10" ht="35.15" customHeight="1">
      <c r="A31" s="25"/>
      <c r="B31" s="24"/>
      <c r="C31" s="30" t="s">
        <v>61</v>
      </c>
      <c r="D31" s="30"/>
      <c r="E31" s="13" t="s">
        <v>62</v>
      </c>
      <c r="F31" s="13"/>
      <c r="G31" s="66">
        <f>SUM(G7+G14+G21+G23+G28+G30)</f>
        <v>655.1690000000001</v>
      </c>
      <c r="H31" s="27"/>
      <c r="I31" s="17"/>
      <c r="J31" s="17"/>
    </row>
    <row r="32" spans="1:10" ht="34.5" customHeight="1">
      <c r="A32" s="32"/>
      <c r="B32" s="24"/>
      <c r="C32" s="84" t="s">
        <v>63</v>
      </c>
      <c r="D32" s="12"/>
      <c r="E32" s="9" t="s">
        <v>64</v>
      </c>
      <c r="F32" s="9"/>
      <c r="G32" s="67">
        <v>56.957000000000001</v>
      </c>
      <c r="H32" s="31" t="s">
        <v>65</v>
      </c>
      <c r="I32" s="17" t="str">
        <f>IF($G32&gt;0,"STATION ON STREAM",IF(AND($G32=0,$H32&gt;0),"STATION ON STANDBY","STATION ON SHUTDOWN"))</f>
        <v>STATION ON STREAM</v>
      </c>
      <c r="J32" s="17"/>
    </row>
    <row r="33" spans="1:11" ht="35.15" customHeight="1">
      <c r="A33" s="25"/>
      <c r="B33" s="24"/>
      <c r="C33" s="88"/>
      <c r="D33" s="8"/>
      <c r="E33" s="13" t="s">
        <v>13</v>
      </c>
      <c r="F33" s="14"/>
      <c r="G33" s="57">
        <f>SUM(G32)</f>
        <v>56.957000000000001</v>
      </c>
      <c r="H33" s="27"/>
      <c r="I33" s="17"/>
      <c r="J33" s="17"/>
    </row>
    <row r="34" spans="1:11" ht="35.15" customHeight="1">
      <c r="A34" s="25"/>
      <c r="B34" s="24"/>
      <c r="C34" s="84" t="s">
        <v>14</v>
      </c>
      <c r="D34" s="8"/>
      <c r="E34" s="9" t="s">
        <v>66</v>
      </c>
      <c r="F34" s="9"/>
      <c r="G34" s="9">
        <v>14.115</v>
      </c>
      <c r="H34" s="31" t="s">
        <v>67</v>
      </c>
      <c r="I34" s="17" t="str">
        <f>IF($G34&gt;0,"STATION ON STREAM",IF(AND($G34=0,$H34&gt;0),"STATION ON STANDBY","STATION ON SHUTDOWN"))</f>
        <v>STATION ON STREAM</v>
      </c>
      <c r="J34" s="17"/>
    </row>
    <row r="35" spans="1:11" ht="35.15" customHeight="1">
      <c r="A35" s="25"/>
      <c r="B35" s="24"/>
      <c r="C35" s="85"/>
      <c r="D35" s="12"/>
      <c r="E35" s="9" t="s">
        <v>68</v>
      </c>
      <c r="F35" s="9"/>
      <c r="G35" s="65">
        <v>0</v>
      </c>
      <c r="H35" s="31" t="s">
        <v>65</v>
      </c>
      <c r="I35" s="17" t="str">
        <f>IF($G35&gt;0,"STATION ON STREAM",IF(AND($G35=0,$H35&gt;0),"STATION ON STANDBY","STATION ON SHUTDOWN"))</f>
        <v>STATION ON STANDBY</v>
      </c>
      <c r="J35" s="17"/>
    </row>
    <row r="36" spans="1:11" ht="35.25" customHeight="1">
      <c r="A36" s="25"/>
      <c r="B36" s="24"/>
      <c r="C36" s="85"/>
      <c r="D36" s="12"/>
      <c r="E36" s="13" t="s">
        <v>13</v>
      </c>
      <c r="F36" s="14"/>
      <c r="G36" s="57">
        <f>SUM(G34:G35)</f>
        <v>14.115</v>
      </c>
      <c r="H36" s="27"/>
      <c r="I36" s="17"/>
      <c r="J36" s="17"/>
    </row>
    <row r="37" spans="1:11" ht="35.15" customHeight="1">
      <c r="A37" s="25"/>
      <c r="B37" s="24"/>
      <c r="C37" s="85"/>
      <c r="D37" s="12"/>
      <c r="E37" s="9" t="s">
        <v>69</v>
      </c>
      <c r="F37" s="9"/>
      <c r="G37" s="64">
        <v>0</v>
      </c>
      <c r="H37" s="31" t="s">
        <v>65</v>
      </c>
      <c r="I37" s="17" t="str">
        <f>IF($G37&gt;0,"STATION ON STREAM",IF(AND($G37=0,$H37&gt;0),"STATION ON STANDBY","STATION ON SHUTDOWN"))</f>
        <v>STATION ON STANDBY</v>
      </c>
      <c r="J37" s="17"/>
    </row>
    <row r="38" spans="1:11" ht="35.15" customHeight="1">
      <c r="A38" s="33" t="s">
        <v>70</v>
      </c>
      <c r="B38" s="24"/>
      <c r="C38" s="87"/>
      <c r="D38" s="12"/>
      <c r="E38" s="9" t="s">
        <v>71</v>
      </c>
      <c r="F38" s="9"/>
      <c r="G38" s="51">
        <v>0</v>
      </c>
      <c r="H38" s="31" t="s">
        <v>136</v>
      </c>
      <c r="I38" s="17" t="str">
        <f>IF($G38&gt;0,"STATION ON STREAM",IF(AND($G38=0,$H38&gt;0),"STATION ON STANDBY","STATION ON SHUTDOWN"))</f>
        <v>STATION ON STANDBY</v>
      </c>
      <c r="J38" s="17"/>
    </row>
    <row r="39" spans="1:11" ht="35.15" customHeight="1">
      <c r="A39" s="25"/>
      <c r="B39" s="24"/>
      <c r="C39" s="68"/>
      <c r="D39" s="12"/>
      <c r="E39" s="9" t="s">
        <v>72</v>
      </c>
      <c r="F39" s="9"/>
      <c r="G39" s="64">
        <v>0</v>
      </c>
      <c r="H39" s="31" t="s">
        <v>73</v>
      </c>
      <c r="I39" s="17" t="str">
        <f>IF($G39&gt;0,"STATION ON STREAM",IF(AND($G39=0,$H39&gt;0),"STATION ON STANDBY","STATION ON SHUTDOWN"))</f>
        <v>STATION ON STANDBY</v>
      </c>
      <c r="J39" s="17"/>
    </row>
    <row r="40" spans="1:11" ht="35.15" customHeight="1">
      <c r="A40" s="25"/>
      <c r="B40" s="24"/>
      <c r="C40" s="84" t="s">
        <v>74</v>
      </c>
      <c r="D40" s="8"/>
      <c r="E40" s="9" t="s">
        <v>75</v>
      </c>
      <c r="F40" s="9"/>
      <c r="G40" s="64">
        <v>1.764</v>
      </c>
      <c r="H40" s="31" t="s">
        <v>146</v>
      </c>
      <c r="I40" s="17" t="str">
        <f>IF($G40&gt;0,"STATION ON STREAM",IF(AND($G40=0,$H40&gt;0),"STATION ON STANDBY","STATION ON SHUTDOWN"))</f>
        <v>STATION ON STREAM</v>
      </c>
      <c r="J40" s="17"/>
      <c r="K40" s="43"/>
    </row>
    <row r="41" spans="1:11" ht="35.15" customHeight="1">
      <c r="A41" s="25"/>
      <c r="B41" s="24"/>
      <c r="C41" s="88"/>
      <c r="D41" s="8"/>
      <c r="E41" s="13" t="s">
        <v>13</v>
      </c>
      <c r="F41" s="14"/>
      <c r="G41" s="57">
        <f>SUM(G37:G40)</f>
        <v>1.764</v>
      </c>
      <c r="H41" s="27"/>
      <c r="I41" s="17"/>
      <c r="J41" s="17"/>
      <c r="K41" s="44"/>
    </row>
    <row r="42" spans="1:11" ht="35.15" customHeight="1">
      <c r="A42" s="32"/>
      <c r="B42" s="24"/>
      <c r="C42" s="69" t="s">
        <v>51</v>
      </c>
      <c r="D42" s="8"/>
      <c r="E42" s="9" t="s">
        <v>77</v>
      </c>
      <c r="F42" s="9"/>
      <c r="G42" s="52">
        <v>1.992</v>
      </c>
      <c r="H42" s="35">
        <v>44</v>
      </c>
      <c r="I42" s="17" t="str">
        <f t="shared" ref="I42:I43" si="4">IF($G42&gt;0,"STATION ON STREAM",IF(AND($G42=0,$H42&gt;0),"STATION ON STANDBY","STATION ON SHUTDOWN"))</f>
        <v>STATION ON STREAM</v>
      </c>
      <c r="J42" s="42"/>
    </row>
    <row r="43" spans="1:11" ht="35.15" customHeight="1">
      <c r="A43" s="32"/>
      <c r="B43" s="24"/>
      <c r="C43" s="89"/>
      <c r="D43" s="8"/>
      <c r="E43" s="9" t="s">
        <v>78</v>
      </c>
      <c r="F43" s="9"/>
      <c r="G43" s="53">
        <v>0</v>
      </c>
      <c r="H43" s="35">
        <v>0</v>
      </c>
      <c r="I43" s="17" t="str">
        <f t="shared" si="4"/>
        <v>STATION ON SHUTDOWN</v>
      </c>
      <c r="J43" s="17"/>
    </row>
    <row r="44" spans="1:11" ht="35.15" customHeight="1">
      <c r="A44" s="36"/>
      <c r="B44" s="36"/>
      <c r="C44" s="89"/>
      <c r="D44" s="8"/>
      <c r="E44" s="9" t="s">
        <v>79</v>
      </c>
      <c r="F44" s="9"/>
      <c r="G44" s="53">
        <v>2.2400000000000002</v>
      </c>
      <c r="H44" s="35">
        <v>15</v>
      </c>
      <c r="I44" s="17" t="str">
        <f>IF($G45&gt;0,"STATION ON STREAM",IF(AND($G45=0,$H44&gt;0),"STATION ON STANDBY","STATION ON SHUTDOWN"))</f>
        <v>STATION ON STANDBY</v>
      </c>
      <c r="J44" s="42"/>
    </row>
    <row r="45" spans="1:11" ht="26.25" customHeight="1">
      <c r="A45" s="36"/>
      <c r="B45" s="36"/>
      <c r="C45" s="90"/>
      <c r="D45" s="8"/>
      <c r="E45" s="9" t="s">
        <v>80</v>
      </c>
      <c r="F45" s="9"/>
      <c r="G45" s="51">
        <v>0</v>
      </c>
      <c r="H45" s="35">
        <v>35</v>
      </c>
      <c r="I45" s="17" t="str">
        <f>IF($G45&gt;0,"STATION ON STREAM",IF(AND($G45=0,$H45&gt;0),"STATION ON STANDBY","STATION ON SHUTDOWN"))</f>
        <v>STATION ON STANDBY</v>
      </c>
      <c r="J45" s="42"/>
    </row>
    <row r="46" spans="1:11" ht="21" customHeight="1">
      <c r="A46" s="82"/>
      <c r="B46" s="83"/>
      <c r="C46" s="30"/>
      <c r="D46" s="12"/>
      <c r="E46" s="13" t="s">
        <v>13</v>
      </c>
      <c r="F46" s="14" t="s">
        <v>62</v>
      </c>
      <c r="G46" s="57">
        <f>SUM(G42:G45)</f>
        <v>4.2320000000000002</v>
      </c>
      <c r="H46" s="37"/>
      <c r="I46" s="14" t="s">
        <v>81</v>
      </c>
      <c r="J46" s="42"/>
    </row>
    <row r="47" spans="1:11" ht="25.5" customHeight="1">
      <c r="A47" s="38"/>
      <c r="B47" s="38"/>
      <c r="C47" s="30" t="s">
        <v>61</v>
      </c>
      <c r="D47" s="30"/>
      <c r="E47" s="13" t="s">
        <v>62</v>
      </c>
      <c r="F47" s="13" t="s">
        <v>62</v>
      </c>
      <c r="G47" s="57">
        <f>SUM(G33+G36+G41+G46)</f>
        <v>77.067999999999998</v>
      </c>
      <c r="H47" s="37"/>
      <c r="I47" s="13" t="s">
        <v>62</v>
      </c>
      <c r="J47" s="45"/>
    </row>
    <row r="48" spans="1:11" ht="18.5">
      <c r="A48" s="38"/>
      <c r="B48" s="38"/>
      <c r="C48" s="30" t="s">
        <v>82</v>
      </c>
      <c r="D48" s="30"/>
      <c r="E48" s="13" t="s">
        <v>62</v>
      </c>
      <c r="F48" s="13" t="s">
        <v>62</v>
      </c>
      <c r="G48" s="66">
        <f>SUM(G31+G47)</f>
        <v>732.23700000000008</v>
      </c>
      <c r="H48" s="39"/>
      <c r="I48" s="46"/>
      <c r="J48" s="47">
        <f>J14+J47+J7</f>
        <v>995.44583333333344</v>
      </c>
    </row>
    <row r="49" spans="1:10" ht="18.5">
      <c r="A49" s="38"/>
      <c r="B49" s="38"/>
      <c r="C49" s="34"/>
      <c r="D49" s="34"/>
      <c r="E49" s="34"/>
      <c r="F49" s="40"/>
      <c r="G49" s="40"/>
      <c r="H49" s="41"/>
      <c r="I49" s="40"/>
      <c r="J49" s="48"/>
    </row>
    <row r="50" spans="1:10" ht="18.5">
      <c r="C50" s="34"/>
      <c r="D50" s="34"/>
      <c r="E50" s="34"/>
      <c r="F50" s="34"/>
      <c r="G50" s="40"/>
      <c r="H50" s="41"/>
      <c r="I50" s="34"/>
      <c r="J50" s="34"/>
    </row>
  </sheetData>
  <sheetProtection formatCells="0" formatColumns="0" formatRows="0" insertColumns="0" insertRows="0"/>
  <mergeCells count="15">
    <mergeCell ref="C15:C18"/>
    <mergeCell ref="A19:B23"/>
    <mergeCell ref="C19:C21"/>
    <mergeCell ref="A1:J2"/>
    <mergeCell ref="A3:J3"/>
    <mergeCell ref="A5:B5"/>
    <mergeCell ref="C6:C7"/>
    <mergeCell ref="C8:C14"/>
    <mergeCell ref="A46:B46"/>
    <mergeCell ref="C24:C28"/>
    <mergeCell ref="C29:C30"/>
    <mergeCell ref="C32:C33"/>
    <mergeCell ref="C34:C38"/>
    <mergeCell ref="C40:C41"/>
    <mergeCell ref="C42:C45"/>
  </mergeCells>
  <printOptions horizontalCentered="1"/>
  <pageMargins left="0.196850393700787" right="0.196850393700787" top="0" bottom="0" header="0.118110236220472" footer="0.118110236220472"/>
  <pageSetup paperSize="9" scale="40" fitToHeight="0" orientation="portrait" verticalDpi="300" r:id="rId1"/>
  <headerFooter alignWithMargins="0">
    <oddHeader>&amp;C&amp;KFFA500&amp;10&amp;"Calibri"Confidential: Internal Use Only</oddHeader>
    <oddFooter>&amp;C&amp;KFFA500&amp;10&amp;"Calibri"Confidential: Internal Use Only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AD2E3-9B0C-44BD-AC8C-F4448440CB66}">
  <sheetPr codeName="Sheet8">
    <pageSetUpPr fitToPage="1"/>
  </sheetPr>
  <dimension ref="A1:K50"/>
  <sheetViews>
    <sheetView showGridLines="0" tabSelected="1" view="pageBreakPreview" topLeftCell="A194" zoomScale="73" zoomScaleNormal="55" zoomScaleSheetLayoutView="73" zoomScalePageLayoutView="10" workbookViewId="0">
      <selection activeCell="A53" sqref="A50:XFD53"/>
    </sheetView>
  </sheetViews>
  <sheetFormatPr defaultColWidth="9" defaultRowHeight="14.5"/>
  <cols>
    <col min="1" max="1" width="15.26953125" customWidth="1"/>
    <col min="2" max="2" width="2.90625" customWidth="1"/>
    <col min="3" max="3" width="18.7265625" customWidth="1"/>
    <col min="4" max="4" width="29.7265625" customWidth="1"/>
    <col min="5" max="5" width="44.08984375" customWidth="1"/>
    <col min="6" max="6" width="22.26953125" customWidth="1"/>
    <col min="7" max="7" width="21" customWidth="1"/>
    <col min="8" max="8" width="23" style="1" customWidth="1"/>
    <col min="9" max="9" width="38.6328125" customWidth="1"/>
    <col min="10" max="10" width="20.36328125" customWidth="1"/>
    <col min="14" max="14" width="8.7265625" customWidth="1"/>
    <col min="15" max="15" width="8.08984375" customWidth="1"/>
    <col min="17" max="17" width="9.26953125" customWidth="1"/>
    <col min="21" max="21" width="9.08984375" customWidth="1"/>
  </cols>
  <sheetData>
    <row r="1" spans="1:10" ht="59.25" customHeight="1">
      <c r="A1" s="75" t="s">
        <v>0</v>
      </c>
      <c r="B1" s="75"/>
      <c r="C1" s="75"/>
      <c r="D1" s="75"/>
      <c r="E1" s="75"/>
      <c r="F1" s="75"/>
      <c r="G1" s="75"/>
      <c r="H1" s="75"/>
      <c r="I1" s="75"/>
      <c r="J1" s="75"/>
    </row>
    <row r="2" spans="1:10" ht="18.75" customHeight="1">
      <c r="A2" s="75"/>
      <c r="B2" s="75"/>
      <c r="C2" s="75"/>
      <c r="D2" s="75"/>
      <c r="E2" s="75"/>
      <c r="F2" s="75"/>
      <c r="G2" s="75"/>
      <c r="H2" s="75"/>
      <c r="I2" s="75"/>
      <c r="J2" s="75"/>
    </row>
    <row r="3" spans="1:10" ht="33" customHeight="1">
      <c r="A3" s="76" t="s">
        <v>242</v>
      </c>
      <c r="B3" s="77"/>
      <c r="C3" s="77"/>
      <c r="D3" s="77"/>
      <c r="E3" s="77"/>
      <c r="F3" s="77"/>
      <c r="G3" s="77"/>
      <c r="H3" s="77"/>
      <c r="I3" s="77"/>
      <c r="J3" s="77"/>
    </row>
    <row r="4" spans="1:10" ht="9.75" customHeight="1">
      <c r="A4" s="2"/>
      <c r="B4" s="2"/>
      <c r="C4" s="2"/>
      <c r="D4" s="2"/>
      <c r="E4" s="2"/>
      <c r="F4" s="2"/>
      <c r="G4" s="2"/>
      <c r="H4" s="3"/>
      <c r="I4" s="2" t="s">
        <v>1</v>
      </c>
      <c r="J4" s="2"/>
    </row>
    <row r="5" spans="1:10" ht="43">
      <c r="A5" s="78" t="s">
        <v>2</v>
      </c>
      <c r="B5" s="79"/>
      <c r="C5" s="4" t="s">
        <v>3</v>
      </c>
      <c r="D5" s="4"/>
      <c r="E5" s="4" t="s">
        <v>4</v>
      </c>
      <c r="F5" s="4" t="s">
        <v>5</v>
      </c>
      <c r="G5" s="4" t="s">
        <v>6</v>
      </c>
      <c r="H5" s="5" t="s">
        <v>7</v>
      </c>
      <c r="I5" s="4" t="s">
        <v>8</v>
      </c>
      <c r="J5" s="18" t="s">
        <v>9</v>
      </c>
    </row>
    <row r="6" spans="1:10" ht="40.5" customHeight="1">
      <c r="A6" s="6"/>
      <c r="B6" s="7"/>
      <c r="C6" s="80" t="s">
        <v>10</v>
      </c>
      <c r="D6" s="8"/>
      <c r="E6" s="9" t="s">
        <v>11</v>
      </c>
      <c r="F6" s="54">
        <v>47.3</v>
      </c>
      <c r="G6" s="54">
        <v>56.102999999999994</v>
      </c>
      <c r="H6" s="55" t="s">
        <v>12</v>
      </c>
      <c r="I6" s="17" t="str">
        <f>IF($G6&gt;0,"STATION ON STREAM",IF(AND($G6=0,$H6&gt;0),"STATION ON STANDBY","STATION ON SHUTDOWN"))</f>
        <v>STATION ON STREAM</v>
      </c>
      <c r="J6" s="56">
        <v>226.31</v>
      </c>
    </row>
    <row r="7" spans="1:10" ht="35.15" customHeight="1">
      <c r="A7" s="6"/>
      <c r="B7" s="7"/>
      <c r="C7" s="81"/>
      <c r="D7" s="12"/>
      <c r="E7" s="13" t="s">
        <v>13</v>
      </c>
      <c r="F7" s="14"/>
      <c r="G7" s="57">
        <f>G6</f>
        <v>56.102999999999994</v>
      </c>
      <c r="H7" s="15"/>
      <c r="I7" s="17"/>
      <c r="J7" s="19">
        <f>J6</f>
        <v>226.31</v>
      </c>
    </row>
    <row r="8" spans="1:10" ht="29.25" customHeight="1">
      <c r="A8" s="6"/>
      <c r="B8" s="7"/>
      <c r="C8" s="81"/>
      <c r="D8" s="12"/>
      <c r="E8" s="9" t="s">
        <v>19</v>
      </c>
      <c r="F8" s="10">
        <v>25</v>
      </c>
      <c r="G8" s="58">
        <v>22.082000000000001</v>
      </c>
      <c r="H8" s="16" t="s">
        <v>148</v>
      </c>
      <c r="I8" s="17" t="str">
        <f>IF($G8&gt;0,"STATION ON STREAM",IF(AND($G8=0,$H9&gt;0),"STATION ON STANDBY","STATION ON SHUTDOWN"))</f>
        <v>STATION ON STREAM</v>
      </c>
      <c r="J8" s="56">
        <v>110.03</v>
      </c>
    </row>
    <row r="9" spans="1:10" ht="35.15" customHeight="1">
      <c r="A9" s="6"/>
      <c r="B9" s="7"/>
      <c r="C9" s="81"/>
      <c r="D9" s="12"/>
      <c r="E9" s="9" t="s">
        <v>20</v>
      </c>
      <c r="F9" s="10">
        <v>12</v>
      </c>
      <c r="G9" s="58">
        <v>5.1970000000000001</v>
      </c>
      <c r="H9" s="16" t="s">
        <v>149</v>
      </c>
      <c r="I9" s="17" t="str">
        <f t="shared" ref="I9:I13" si="0">IF($G9&gt;0,"STATION ON STREAM",IF(AND($G9=0,$H9&gt;0),"STATION ON STANDBY","STATION ON SHUTDOWN"))</f>
        <v>STATION ON STREAM</v>
      </c>
      <c r="J9" s="56">
        <v>71.930000000000007</v>
      </c>
    </row>
    <row r="10" spans="1:10" ht="35.15" customHeight="1">
      <c r="A10" s="6"/>
      <c r="B10" s="7"/>
      <c r="C10" s="81"/>
      <c r="D10" s="12"/>
      <c r="E10" s="9" t="s">
        <v>22</v>
      </c>
      <c r="F10" s="21">
        <v>13</v>
      </c>
      <c r="G10" s="58">
        <v>24.408000000000001</v>
      </c>
      <c r="H10" s="16" t="s">
        <v>100</v>
      </c>
      <c r="I10" s="17" t="str">
        <f t="shared" si="0"/>
        <v>STATION ON STREAM</v>
      </c>
      <c r="J10" s="56">
        <v>86.95</v>
      </c>
    </row>
    <row r="11" spans="1:10" ht="35.15" customHeight="1">
      <c r="A11" s="6"/>
      <c r="B11" s="7"/>
      <c r="C11" s="81"/>
      <c r="D11" s="12"/>
      <c r="E11" s="9" t="s">
        <v>23</v>
      </c>
      <c r="F11" s="10">
        <v>25</v>
      </c>
      <c r="G11" s="58">
        <v>19.344999999999999</v>
      </c>
      <c r="H11" s="16" t="s">
        <v>15</v>
      </c>
      <c r="I11" s="17" t="str">
        <f t="shared" si="0"/>
        <v>STATION ON STREAM</v>
      </c>
      <c r="J11" s="56">
        <v>58.020833333333336</v>
      </c>
    </row>
    <row r="12" spans="1:10" ht="35.15" customHeight="1">
      <c r="A12" s="6"/>
      <c r="B12" s="7"/>
      <c r="C12" s="81"/>
      <c r="D12" s="12"/>
      <c r="E12" s="9" t="s">
        <v>24</v>
      </c>
      <c r="F12" s="10">
        <v>25</v>
      </c>
      <c r="G12" s="58">
        <v>0</v>
      </c>
      <c r="H12" s="16" t="s">
        <v>147</v>
      </c>
      <c r="I12" s="17" t="str">
        <f t="shared" si="0"/>
        <v>STATION ON STANDBY</v>
      </c>
      <c r="J12" s="56">
        <v>0</v>
      </c>
    </row>
    <row r="13" spans="1:10" ht="35.15" customHeight="1">
      <c r="A13" s="6"/>
      <c r="B13" s="7"/>
      <c r="C13" s="81"/>
      <c r="D13" s="12"/>
      <c r="E13" s="9" t="s">
        <v>25</v>
      </c>
      <c r="F13" s="10">
        <v>96.34</v>
      </c>
      <c r="G13" s="58">
        <v>83.554000000000002</v>
      </c>
      <c r="H13" s="11" t="s">
        <v>150</v>
      </c>
      <c r="I13" s="17" t="str">
        <f t="shared" si="0"/>
        <v>STATION ON STREAM</v>
      </c>
      <c r="J13" s="56">
        <v>407.1</v>
      </c>
    </row>
    <row r="14" spans="1:10" ht="35.15" customHeight="1">
      <c r="A14" s="6"/>
      <c r="B14" s="7"/>
      <c r="C14" s="81"/>
      <c r="D14" s="12"/>
      <c r="E14" s="13" t="s">
        <v>13</v>
      </c>
      <c r="F14" s="14"/>
      <c r="G14" s="57">
        <f>SUM(G8:G13)</f>
        <v>154.58600000000001</v>
      </c>
      <c r="H14" s="15"/>
      <c r="I14" s="17"/>
      <c r="J14" s="19">
        <f>SUM(J8:J13)</f>
        <v>734.03083333333336</v>
      </c>
    </row>
    <row r="15" spans="1:10" ht="35.15" customHeight="1">
      <c r="A15" s="6"/>
      <c r="B15" s="7"/>
      <c r="C15" s="69"/>
      <c r="D15" s="8"/>
      <c r="E15" s="9" t="s">
        <v>27</v>
      </c>
      <c r="F15" s="21"/>
      <c r="G15" s="21">
        <v>59</v>
      </c>
      <c r="H15" s="11" t="s">
        <v>151</v>
      </c>
      <c r="I15" s="17" t="str">
        <f t="shared" ref="I15:I18" si="1">IF($G15&gt;0,"STATION ON STREAM",IF(AND($G15=0,$H15&gt;0),"STATION ON STANDBY","STATION ON SHUTDOWN"))</f>
        <v>STATION ON STREAM</v>
      </c>
      <c r="J15" s="17"/>
    </row>
    <row r="16" spans="1:10" ht="35.15" customHeight="1">
      <c r="A16" s="6"/>
      <c r="B16" s="7"/>
      <c r="C16" s="70"/>
      <c r="D16" s="12"/>
      <c r="E16" s="9" t="s">
        <v>29</v>
      </c>
      <c r="F16" s="21"/>
      <c r="G16" s="58">
        <v>10.61</v>
      </c>
      <c r="H16" s="11" t="s">
        <v>125</v>
      </c>
      <c r="I16" s="17" t="str">
        <f t="shared" si="1"/>
        <v>STATION ON STREAM</v>
      </c>
      <c r="J16" s="17"/>
    </row>
    <row r="17" spans="1:10" ht="35.15" customHeight="1">
      <c r="A17" s="6"/>
      <c r="B17" s="7"/>
      <c r="C17" s="70"/>
      <c r="D17" s="12"/>
      <c r="E17" s="9" t="s">
        <v>31</v>
      </c>
      <c r="F17" s="21"/>
      <c r="G17" s="58">
        <v>2.1000000000000001E-2</v>
      </c>
      <c r="H17" s="11" t="s">
        <v>41</v>
      </c>
      <c r="I17" s="17" t="str">
        <f t="shared" si="1"/>
        <v>STATION ON STREAM</v>
      </c>
      <c r="J17" s="17"/>
    </row>
    <row r="18" spans="1:10" ht="35.15" customHeight="1">
      <c r="A18" s="6"/>
      <c r="B18" s="7"/>
      <c r="C18" s="70"/>
      <c r="D18" s="12"/>
      <c r="E18" s="9" t="s">
        <v>33</v>
      </c>
      <c r="F18" s="21"/>
      <c r="G18" s="58">
        <v>23.088999999999999</v>
      </c>
      <c r="H18" s="11" t="s">
        <v>152</v>
      </c>
      <c r="I18" s="17" t="str">
        <f t="shared" si="1"/>
        <v>STATION ON STREAM</v>
      </c>
      <c r="J18" s="17"/>
    </row>
    <row r="19" spans="1:10" ht="34.5" customHeight="1">
      <c r="A19" s="72"/>
      <c r="B19" s="73"/>
      <c r="C19" s="74"/>
      <c r="D19" s="12"/>
      <c r="E19" s="17" t="s">
        <v>47</v>
      </c>
      <c r="F19" s="49"/>
      <c r="G19" s="59">
        <v>1.9E-2</v>
      </c>
      <c r="H19" s="16" t="s">
        <v>48</v>
      </c>
      <c r="I19" s="17" t="str">
        <f t="shared" ref="I19:I20" si="2">IF($G19&gt;0,"STATION ON STREAM",IF(AND($G19=0,$H19&gt;0),"STATION ON STANDBY","STATION ON SHUTDOWN"))</f>
        <v>STATION ON STREAM</v>
      </c>
      <c r="J19" s="17"/>
    </row>
    <row r="20" spans="1:10" ht="34.5" customHeight="1">
      <c r="A20" s="72"/>
      <c r="B20" s="73"/>
      <c r="C20" s="74"/>
      <c r="D20" s="12"/>
      <c r="E20" s="17" t="s">
        <v>49</v>
      </c>
      <c r="F20" s="49"/>
      <c r="G20" s="59">
        <v>1.0999999999999999E-2</v>
      </c>
      <c r="H20" s="16" t="s">
        <v>48</v>
      </c>
      <c r="I20" s="17" t="str">
        <f t="shared" si="2"/>
        <v>STATION ON STREAM</v>
      </c>
      <c r="J20" s="17"/>
    </row>
    <row r="21" spans="1:10" ht="35.15" customHeight="1">
      <c r="A21" s="72"/>
      <c r="B21" s="73"/>
      <c r="C21" s="71"/>
      <c r="D21" s="12"/>
      <c r="E21" s="13" t="s">
        <v>13</v>
      </c>
      <c r="F21" s="14"/>
      <c r="G21" s="60">
        <f>SUM(G15:G20)</f>
        <v>92.75</v>
      </c>
      <c r="H21" s="20"/>
      <c r="I21" s="17"/>
      <c r="J21" s="17"/>
    </row>
    <row r="22" spans="1:10" ht="35.15" customHeight="1">
      <c r="A22" s="72"/>
      <c r="B22" s="73"/>
      <c r="C22" s="68"/>
      <c r="D22" s="12"/>
      <c r="E22" s="9" t="s">
        <v>50</v>
      </c>
      <c r="F22" s="21"/>
      <c r="G22" s="21">
        <v>1.85</v>
      </c>
      <c r="H22" s="21" t="s">
        <v>12</v>
      </c>
      <c r="I22" s="17" t="str">
        <f>IF($G22&gt;0,"STATION ON STREAM",IF(AND($G22=0,$H22&gt;0),"STATION ON STANDBY","STATION ON SHUTDOWN"))</f>
        <v>STATION ON STREAM</v>
      </c>
      <c r="J22" s="17"/>
    </row>
    <row r="23" spans="1:10" ht="35.15" customHeight="1">
      <c r="A23" s="72"/>
      <c r="B23" s="73"/>
      <c r="C23" s="68"/>
      <c r="D23" s="12"/>
      <c r="E23" s="13" t="s">
        <v>13</v>
      </c>
      <c r="F23" s="14"/>
      <c r="G23" s="61">
        <f>SUM(G22)</f>
        <v>1.85</v>
      </c>
      <c r="H23" s="23"/>
      <c r="I23" s="17"/>
      <c r="J23" s="17"/>
    </row>
    <row r="24" spans="1:10" ht="35.15" customHeight="1">
      <c r="A24" s="6"/>
      <c r="B24" s="24"/>
      <c r="C24" s="84" t="s">
        <v>51</v>
      </c>
      <c r="D24" s="12"/>
      <c r="E24" s="9" t="s">
        <v>52</v>
      </c>
      <c r="F24" s="50">
        <v>51</v>
      </c>
      <c r="G24" s="62">
        <v>46.994</v>
      </c>
      <c r="H24" s="22">
        <v>30</v>
      </c>
      <c r="I24" s="17" t="str">
        <f t="shared" ref="I24:I27" si="3">IF($G24&gt;0,"STATION ON STREAM",IF(AND($G24=0,$H24&gt;0),"STATION ON STANDBY","STATION ON SHUTDOWN"))</f>
        <v>STATION ON STREAM</v>
      </c>
      <c r="J24" s="17"/>
    </row>
    <row r="25" spans="1:10" ht="35.15" customHeight="1">
      <c r="A25" s="25"/>
      <c r="B25" s="24"/>
      <c r="C25" s="85"/>
      <c r="D25" s="12"/>
      <c r="E25" s="9" t="s">
        <v>53</v>
      </c>
      <c r="F25" s="50">
        <v>1</v>
      </c>
      <c r="G25" s="62">
        <v>0.52400000000000002</v>
      </c>
      <c r="H25" s="22" t="s">
        <v>54</v>
      </c>
      <c r="I25" s="17" t="str">
        <f t="shared" si="3"/>
        <v>STATION ON STREAM</v>
      </c>
      <c r="J25" s="17"/>
    </row>
    <row r="26" spans="1:10" ht="35.15" customHeight="1">
      <c r="A26" s="25"/>
      <c r="B26" s="24"/>
      <c r="C26" s="85"/>
      <c r="D26" s="8"/>
      <c r="E26" s="9" t="s">
        <v>55</v>
      </c>
      <c r="F26" s="50">
        <v>189</v>
      </c>
      <c r="G26" s="62">
        <v>189.1</v>
      </c>
      <c r="H26" s="22" t="s">
        <v>155</v>
      </c>
      <c r="I26" s="17" t="str">
        <f t="shared" si="3"/>
        <v>STATION ON STREAM</v>
      </c>
      <c r="J26" s="42"/>
    </row>
    <row r="27" spans="1:10" ht="35.15" customHeight="1">
      <c r="A27" s="25"/>
      <c r="B27" s="24"/>
      <c r="C27" s="86"/>
      <c r="D27" s="12"/>
      <c r="E27" s="9" t="s">
        <v>57</v>
      </c>
      <c r="F27" s="50">
        <v>0.3</v>
      </c>
      <c r="G27" s="62">
        <v>0.41399999999999998</v>
      </c>
      <c r="H27" s="22" t="s">
        <v>58</v>
      </c>
      <c r="I27" s="17" t="str">
        <f t="shared" si="3"/>
        <v>STATION ON STREAM</v>
      </c>
      <c r="J27" s="21">
        <v>0</v>
      </c>
    </row>
    <row r="28" spans="1:10" ht="35.15" customHeight="1">
      <c r="A28" s="25"/>
      <c r="B28" s="24"/>
      <c r="C28" s="87"/>
      <c r="D28" s="8"/>
      <c r="E28" s="13" t="s">
        <v>13</v>
      </c>
      <c r="F28" s="26"/>
      <c r="G28" s="57">
        <f>SUM(G24+G25+G26+G27)</f>
        <v>237.03199999999998</v>
      </c>
      <c r="H28" s="15"/>
      <c r="I28" s="17"/>
      <c r="J28" s="21"/>
    </row>
    <row r="29" spans="1:10" ht="35.15" customHeight="1">
      <c r="A29" s="25"/>
      <c r="B29" s="24"/>
      <c r="C29" s="84" t="s">
        <v>59</v>
      </c>
      <c r="D29" s="12"/>
      <c r="E29" s="9" t="s">
        <v>60</v>
      </c>
      <c r="F29" s="21">
        <v>96</v>
      </c>
      <c r="G29" s="58">
        <v>84.837000000000003</v>
      </c>
      <c r="H29" s="11">
        <v>40</v>
      </c>
      <c r="I29" s="17" t="str">
        <f>IF($G29&gt;0,"STATION ON STREAM",IF(AND($G29=0,$H29&gt;0),"STATION ON STANDBY","STATION ON SHUTDOWN"))</f>
        <v>STATION ON STREAM</v>
      </c>
      <c r="J29" s="21">
        <f>G35*4</f>
        <v>0</v>
      </c>
    </row>
    <row r="30" spans="1:10" ht="35.15" customHeight="1">
      <c r="A30" s="28"/>
      <c r="B30" s="29"/>
      <c r="C30" s="87"/>
      <c r="D30" s="12"/>
      <c r="E30" s="13" t="s">
        <v>13</v>
      </c>
      <c r="F30" s="14"/>
      <c r="G30" s="63">
        <f>SUM(G29)</f>
        <v>84.837000000000003</v>
      </c>
      <c r="H30" s="27"/>
      <c r="I30" s="17"/>
      <c r="J30" s="17"/>
    </row>
    <row r="31" spans="1:10" ht="35.15" customHeight="1">
      <c r="A31" s="25"/>
      <c r="B31" s="24"/>
      <c r="C31" s="30" t="s">
        <v>61</v>
      </c>
      <c r="D31" s="30"/>
      <c r="E31" s="13" t="s">
        <v>62</v>
      </c>
      <c r="F31" s="13"/>
      <c r="G31" s="66">
        <f>SUM(G7+G14+G21+G23+G28+G30)</f>
        <v>627.15800000000002</v>
      </c>
      <c r="H31" s="27"/>
      <c r="I31" s="17"/>
      <c r="J31" s="17"/>
    </row>
    <row r="32" spans="1:10" ht="34.5" customHeight="1">
      <c r="A32" s="32"/>
      <c r="B32" s="24"/>
      <c r="C32" s="84" t="s">
        <v>63</v>
      </c>
      <c r="D32" s="12"/>
      <c r="E32" s="9" t="s">
        <v>64</v>
      </c>
      <c r="F32" s="9"/>
      <c r="G32" s="67">
        <v>43.146000000000001</v>
      </c>
      <c r="H32" s="31" t="s">
        <v>65</v>
      </c>
      <c r="I32" s="17" t="str">
        <f>IF($G32&gt;0,"STATION ON STREAM",IF(AND($G32=0,$H32&gt;0),"STATION ON STANDBY","STATION ON SHUTDOWN"))</f>
        <v>STATION ON STREAM</v>
      </c>
      <c r="J32" s="17"/>
    </row>
    <row r="33" spans="1:11" ht="35.15" customHeight="1">
      <c r="A33" s="25"/>
      <c r="B33" s="24"/>
      <c r="C33" s="88"/>
      <c r="D33" s="8"/>
      <c r="E33" s="13" t="s">
        <v>13</v>
      </c>
      <c r="F33" s="14"/>
      <c r="G33" s="57">
        <f>SUM(G32)</f>
        <v>43.146000000000001</v>
      </c>
      <c r="H33" s="27"/>
      <c r="I33" s="17"/>
      <c r="J33" s="17"/>
    </row>
    <row r="34" spans="1:11" ht="35.15" customHeight="1">
      <c r="A34" s="25"/>
      <c r="B34" s="24"/>
      <c r="C34" s="84" t="s">
        <v>14</v>
      </c>
      <c r="D34" s="8"/>
      <c r="E34" s="9" t="s">
        <v>66</v>
      </c>
      <c r="F34" s="9"/>
      <c r="G34" s="9">
        <v>12.712</v>
      </c>
      <c r="H34" s="31" t="s">
        <v>67</v>
      </c>
      <c r="I34" s="17" t="str">
        <f>IF($G34&gt;0,"STATION ON STREAM",IF(AND($G34=0,$H34&gt;0),"STATION ON STANDBY","STATION ON SHUTDOWN"))</f>
        <v>STATION ON STREAM</v>
      </c>
      <c r="J34" s="17"/>
    </row>
    <row r="35" spans="1:11" ht="35.15" customHeight="1">
      <c r="A35" s="25"/>
      <c r="B35" s="24"/>
      <c r="C35" s="85"/>
      <c r="D35" s="12"/>
      <c r="E35" s="9" t="s">
        <v>68</v>
      </c>
      <c r="F35" s="9"/>
      <c r="G35" s="65">
        <v>0</v>
      </c>
      <c r="H35" s="31" t="s">
        <v>65</v>
      </c>
      <c r="I35" s="17" t="str">
        <f>IF($G35&gt;0,"STATION ON STREAM",IF(AND($G35=0,$H35&gt;0),"STATION ON STANDBY","STATION ON SHUTDOWN"))</f>
        <v>STATION ON STANDBY</v>
      </c>
      <c r="J35" s="17"/>
    </row>
    <row r="36" spans="1:11" ht="35.25" customHeight="1">
      <c r="A36" s="25"/>
      <c r="B36" s="24"/>
      <c r="C36" s="85"/>
      <c r="D36" s="12"/>
      <c r="E36" s="13" t="s">
        <v>13</v>
      </c>
      <c r="F36" s="14"/>
      <c r="G36" s="57">
        <f>SUM(G34:G35)</f>
        <v>12.712</v>
      </c>
      <c r="H36" s="27"/>
      <c r="I36" s="17"/>
      <c r="J36" s="17"/>
    </row>
    <row r="37" spans="1:11" ht="35.15" customHeight="1">
      <c r="A37" s="25"/>
      <c r="B37" s="24"/>
      <c r="C37" s="85"/>
      <c r="D37" s="12"/>
      <c r="E37" s="9" t="s">
        <v>69</v>
      </c>
      <c r="F37" s="9"/>
      <c r="G37" s="64">
        <v>0</v>
      </c>
      <c r="H37" s="31" t="s">
        <v>65</v>
      </c>
      <c r="I37" s="17" t="str">
        <f>IF($G37&gt;0,"STATION ON STREAM",IF(AND($G37=0,$H37&gt;0),"STATION ON STANDBY","STATION ON SHUTDOWN"))</f>
        <v>STATION ON STANDBY</v>
      </c>
      <c r="J37" s="17"/>
    </row>
    <row r="38" spans="1:11" ht="35.15" customHeight="1">
      <c r="A38" s="33" t="s">
        <v>70</v>
      </c>
      <c r="B38" s="24"/>
      <c r="C38" s="87"/>
      <c r="D38" s="12"/>
      <c r="E38" s="9" t="s">
        <v>71</v>
      </c>
      <c r="F38" s="9"/>
      <c r="G38" s="51">
        <v>0</v>
      </c>
      <c r="H38" s="31" t="s">
        <v>136</v>
      </c>
      <c r="I38" s="17" t="str">
        <f>IF($G38&gt;0,"STATION ON STREAM",IF(AND($G38=0,$H38&gt;0),"STATION ON STANDBY","STATION ON SHUTDOWN"))</f>
        <v>STATION ON STANDBY</v>
      </c>
      <c r="J38" s="17"/>
    </row>
    <row r="39" spans="1:11" ht="35.15" customHeight="1">
      <c r="A39" s="25"/>
      <c r="B39" s="24"/>
      <c r="C39" s="68"/>
      <c r="D39" s="12"/>
      <c r="E39" s="9" t="s">
        <v>72</v>
      </c>
      <c r="F39" s="9"/>
      <c r="G39" s="64">
        <v>0</v>
      </c>
      <c r="H39" s="31" t="s">
        <v>73</v>
      </c>
      <c r="I39" s="17" t="str">
        <f>IF($G39&gt;0,"STATION ON STREAM",IF(AND($G39=0,$H39&gt;0),"STATION ON STANDBY","STATION ON SHUTDOWN"))</f>
        <v>STATION ON STANDBY</v>
      </c>
      <c r="J39" s="17"/>
    </row>
    <row r="40" spans="1:11" ht="35.15" customHeight="1">
      <c r="A40" s="25"/>
      <c r="B40" s="24"/>
      <c r="C40" s="84" t="s">
        <v>74</v>
      </c>
      <c r="D40" s="8"/>
      <c r="E40" s="9" t="s">
        <v>75</v>
      </c>
      <c r="F40" s="9"/>
      <c r="G40" s="64">
        <v>1.708</v>
      </c>
      <c r="H40" s="31" t="s">
        <v>146</v>
      </c>
      <c r="I40" s="17" t="str">
        <f>IF($G40&gt;0,"STATION ON STREAM",IF(AND($G40=0,$H40&gt;0),"STATION ON STANDBY","STATION ON SHUTDOWN"))</f>
        <v>STATION ON STREAM</v>
      </c>
      <c r="J40" s="17"/>
      <c r="K40" s="43"/>
    </row>
    <row r="41" spans="1:11" ht="35.15" customHeight="1">
      <c r="A41" s="25"/>
      <c r="B41" s="24"/>
      <c r="C41" s="88"/>
      <c r="D41" s="8"/>
      <c r="E41" s="13" t="s">
        <v>13</v>
      </c>
      <c r="F41" s="14"/>
      <c r="G41" s="57">
        <f>SUM(G37:G40)</f>
        <v>1.708</v>
      </c>
      <c r="H41" s="27"/>
      <c r="I41" s="17"/>
      <c r="J41" s="17"/>
      <c r="K41" s="44"/>
    </row>
    <row r="42" spans="1:11" ht="35.15" customHeight="1">
      <c r="A42" s="32"/>
      <c r="B42" s="24"/>
      <c r="C42" s="69" t="s">
        <v>51</v>
      </c>
      <c r="D42" s="8"/>
      <c r="E42" s="9" t="s">
        <v>77</v>
      </c>
      <c r="F42" s="9"/>
      <c r="G42" s="52">
        <v>1.9179999999999999</v>
      </c>
      <c r="H42" s="35">
        <v>44</v>
      </c>
      <c r="I42" s="17" t="str">
        <f t="shared" ref="I42:I43" si="4">IF($G42&gt;0,"STATION ON STREAM",IF(AND($G42=0,$H42&gt;0),"STATION ON STANDBY","STATION ON SHUTDOWN"))</f>
        <v>STATION ON STREAM</v>
      </c>
      <c r="J42" s="42"/>
    </row>
    <row r="43" spans="1:11" ht="35.15" customHeight="1">
      <c r="A43" s="32"/>
      <c r="B43" s="24"/>
      <c r="C43" s="89"/>
      <c r="D43" s="8"/>
      <c r="E43" s="9" t="s">
        <v>78</v>
      </c>
      <c r="F43" s="9"/>
      <c r="G43" s="53">
        <v>0</v>
      </c>
      <c r="H43" s="35">
        <v>0</v>
      </c>
      <c r="I43" s="17" t="str">
        <f t="shared" si="4"/>
        <v>STATION ON SHUTDOWN</v>
      </c>
      <c r="J43" s="17"/>
    </row>
    <row r="44" spans="1:11" ht="35.15" customHeight="1">
      <c r="A44" s="36"/>
      <c r="B44" s="36"/>
      <c r="C44" s="89"/>
      <c r="D44" s="8"/>
      <c r="E44" s="9" t="s">
        <v>79</v>
      </c>
      <c r="F44" s="9"/>
      <c r="G44" s="53" t="s">
        <v>156</v>
      </c>
      <c r="H44" s="35">
        <v>15</v>
      </c>
      <c r="I44" s="17" t="str">
        <f>IF($G45&gt;0,"STATION ON STREAM",IF(AND($G45=0,$H44&gt;0),"STATION ON STANDBY","STATION ON SHUTDOWN"))</f>
        <v>STATION ON STANDBY</v>
      </c>
      <c r="J44" s="42"/>
    </row>
    <row r="45" spans="1:11" ht="26.25" customHeight="1">
      <c r="A45" s="36"/>
      <c r="B45" s="36"/>
      <c r="C45" s="90"/>
      <c r="D45" s="8"/>
      <c r="E45" s="9" t="s">
        <v>80</v>
      </c>
      <c r="F45" s="9"/>
      <c r="G45" s="51">
        <v>0</v>
      </c>
      <c r="H45" s="35">
        <v>35</v>
      </c>
      <c r="I45" s="17" t="str">
        <f>IF($G45&gt;0,"STATION ON STREAM",IF(AND($G45=0,$H45&gt;0),"STATION ON STANDBY","STATION ON SHUTDOWN"))</f>
        <v>STATION ON STANDBY</v>
      </c>
      <c r="J45" s="42"/>
    </row>
    <row r="46" spans="1:11" ht="21" customHeight="1">
      <c r="A46" s="82"/>
      <c r="B46" s="83"/>
      <c r="C46" s="30"/>
      <c r="D46" s="12"/>
      <c r="E46" s="13" t="s">
        <v>13</v>
      </c>
      <c r="F46" s="14" t="s">
        <v>62</v>
      </c>
      <c r="G46" s="57">
        <f>SUM(G42:G45)</f>
        <v>1.9179999999999999</v>
      </c>
      <c r="H46" s="37"/>
      <c r="I46" s="14" t="s">
        <v>81</v>
      </c>
      <c r="J46" s="42"/>
    </row>
    <row r="47" spans="1:11" ht="25.5" customHeight="1">
      <c r="A47" s="38"/>
      <c r="B47" s="38"/>
      <c r="C47" s="30" t="s">
        <v>61</v>
      </c>
      <c r="D47" s="30"/>
      <c r="E47" s="13" t="s">
        <v>62</v>
      </c>
      <c r="F47" s="13" t="s">
        <v>62</v>
      </c>
      <c r="G47" s="57">
        <f>SUM(G33+G36+G41+G46)</f>
        <v>59.484000000000002</v>
      </c>
      <c r="H47" s="37"/>
      <c r="I47" s="13" t="s">
        <v>62</v>
      </c>
      <c r="J47" s="45"/>
    </row>
    <row r="48" spans="1:11" ht="18.5">
      <c r="A48" s="38"/>
      <c r="B48" s="38"/>
      <c r="C48" s="30" t="s">
        <v>82</v>
      </c>
      <c r="D48" s="30"/>
      <c r="E48" s="13" t="s">
        <v>62</v>
      </c>
      <c r="F48" s="13" t="s">
        <v>62</v>
      </c>
      <c r="G48" s="66">
        <f>SUM(G31+G47)</f>
        <v>686.64200000000005</v>
      </c>
      <c r="H48" s="39"/>
      <c r="I48" s="46"/>
      <c r="J48" s="47">
        <f>J14+J47+J7</f>
        <v>960.34083333333342</v>
      </c>
    </row>
    <row r="49" spans="1:10" ht="18.5">
      <c r="A49" s="38"/>
      <c r="B49" s="38"/>
      <c r="C49" s="34"/>
      <c r="D49" s="34"/>
      <c r="E49" s="34"/>
      <c r="F49" s="40"/>
      <c r="G49" s="40"/>
      <c r="H49" s="41"/>
      <c r="I49" s="40"/>
      <c r="J49" s="48"/>
    </row>
    <row r="50" spans="1:10" ht="18.5">
      <c r="C50" s="34"/>
      <c r="D50" s="34"/>
      <c r="E50" s="34"/>
      <c r="F50" s="34"/>
      <c r="G50" s="40"/>
      <c r="H50" s="41"/>
      <c r="I50" s="34"/>
      <c r="J50" s="34"/>
    </row>
  </sheetData>
  <sheetProtection formatCells="0" formatColumns="0" formatRows="0" insertColumns="0" insertRows="0"/>
  <mergeCells count="15">
    <mergeCell ref="C15:C18"/>
    <mergeCell ref="A19:B23"/>
    <mergeCell ref="C19:C21"/>
    <mergeCell ref="A1:J2"/>
    <mergeCell ref="A3:J3"/>
    <mergeCell ref="A5:B5"/>
    <mergeCell ref="C6:C7"/>
    <mergeCell ref="C8:C14"/>
    <mergeCell ref="A46:B46"/>
    <mergeCell ref="C24:C28"/>
    <mergeCell ref="C29:C30"/>
    <mergeCell ref="C32:C33"/>
    <mergeCell ref="C34:C38"/>
    <mergeCell ref="C40:C41"/>
    <mergeCell ref="C42:C45"/>
  </mergeCells>
  <printOptions horizontalCentered="1"/>
  <pageMargins left="0.196850393700787" right="0.196850393700787" top="0" bottom="0" header="0.118110236220472" footer="0.118110236220472"/>
  <pageSetup paperSize="9" scale="40" fitToHeight="0" orientation="portrait" verticalDpi="300" r:id="rId1"/>
  <headerFooter alignWithMargins="0">
    <oddHeader>&amp;C&amp;KFFA500&amp;10&amp;"Calibri"Confidential: Internal Use Only</oddHeader>
    <oddFooter>&amp;C&amp;KFFA500&amp;10&amp;"Calibri"Confidential: Internal Use Only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1ABD7-0F06-4D7E-A471-2A1AF399302B}">
  <sheetPr codeName="Sheet9">
    <pageSetUpPr fitToPage="1"/>
  </sheetPr>
  <dimension ref="A1:K50"/>
  <sheetViews>
    <sheetView showGridLines="0" tabSelected="1" view="pageBreakPreview" topLeftCell="D1" zoomScale="73" zoomScaleNormal="55" zoomScaleSheetLayoutView="73" zoomScalePageLayoutView="10" workbookViewId="0">
      <selection activeCell="A53" sqref="A50:XFD53"/>
    </sheetView>
  </sheetViews>
  <sheetFormatPr defaultColWidth="9" defaultRowHeight="14.5"/>
  <cols>
    <col min="1" max="1" width="15.26953125" customWidth="1"/>
    <col min="2" max="2" width="2.90625" customWidth="1"/>
    <col min="3" max="3" width="18.7265625" customWidth="1"/>
    <col min="4" max="4" width="29.7265625" customWidth="1"/>
    <col min="5" max="5" width="44.08984375" customWidth="1"/>
    <col min="6" max="6" width="22.26953125" customWidth="1"/>
    <col min="7" max="7" width="21" customWidth="1"/>
    <col min="8" max="8" width="23" style="1" customWidth="1"/>
    <col min="9" max="9" width="38.6328125" customWidth="1"/>
    <col min="10" max="10" width="20.36328125" customWidth="1"/>
    <col min="14" max="14" width="8.7265625" customWidth="1"/>
    <col min="15" max="15" width="8.08984375" customWidth="1"/>
    <col min="17" max="17" width="9.26953125" customWidth="1"/>
    <col min="21" max="21" width="9.08984375" customWidth="1"/>
  </cols>
  <sheetData>
    <row r="1" spans="1:10" ht="59.25" customHeight="1">
      <c r="A1" s="75" t="s">
        <v>0</v>
      </c>
      <c r="B1" s="75"/>
      <c r="C1" s="75"/>
      <c r="D1" s="75"/>
      <c r="E1" s="75"/>
      <c r="F1" s="75"/>
      <c r="G1" s="75"/>
      <c r="H1" s="75"/>
      <c r="I1" s="75"/>
      <c r="J1" s="75"/>
    </row>
    <row r="2" spans="1:10" ht="18.75" customHeight="1">
      <c r="A2" s="75"/>
      <c r="B2" s="75"/>
      <c r="C2" s="75"/>
      <c r="D2" s="75"/>
      <c r="E2" s="75"/>
      <c r="F2" s="75"/>
      <c r="G2" s="75"/>
      <c r="H2" s="75"/>
      <c r="I2" s="75"/>
      <c r="J2" s="75"/>
    </row>
    <row r="3" spans="1:10" ht="33" customHeight="1">
      <c r="A3" s="76" t="s">
        <v>242</v>
      </c>
      <c r="B3" s="77"/>
      <c r="C3" s="77"/>
      <c r="D3" s="77"/>
      <c r="E3" s="77"/>
      <c r="F3" s="77"/>
      <c r="G3" s="77"/>
      <c r="H3" s="77"/>
      <c r="I3" s="77"/>
      <c r="J3" s="77"/>
    </row>
    <row r="4" spans="1:10" ht="9.75" customHeight="1">
      <c r="A4" s="2"/>
      <c r="B4" s="2"/>
      <c r="C4" s="2"/>
      <c r="D4" s="2"/>
      <c r="E4" s="2"/>
      <c r="F4" s="2"/>
      <c r="G4" s="2"/>
      <c r="H4" s="3"/>
      <c r="I4" s="2" t="s">
        <v>1</v>
      </c>
      <c r="J4" s="2"/>
    </row>
    <row r="5" spans="1:10" ht="43">
      <c r="A5" s="78" t="s">
        <v>2</v>
      </c>
      <c r="B5" s="79"/>
      <c r="C5" s="4" t="s">
        <v>3</v>
      </c>
      <c r="D5" s="4"/>
      <c r="E5" s="4" t="s">
        <v>4</v>
      </c>
      <c r="F5" s="4" t="s">
        <v>5</v>
      </c>
      <c r="G5" s="4" t="s">
        <v>6</v>
      </c>
      <c r="H5" s="5" t="s">
        <v>7</v>
      </c>
      <c r="I5" s="4" t="s">
        <v>8</v>
      </c>
      <c r="J5" s="18" t="s">
        <v>9</v>
      </c>
    </row>
    <row r="6" spans="1:10" ht="40.5" customHeight="1">
      <c r="A6" s="6"/>
      <c r="B6" s="7"/>
      <c r="C6" s="80" t="s">
        <v>10</v>
      </c>
      <c r="D6" s="8"/>
      <c r="E6" s="9" t="s">
        <v>11</v>
      </c>
      <c r="F6" s="54">
        <v>47.3</v>
      </c>
      <c r="G6" s="54">
        <v>55.178999999999988</v>
      </c>
      <c r="H6" s="55" t="s">
        <v>12</v>
      </c>
      <c r="I6" s="17" t="str">
        <f>IF($G6&gt;0,"STATION ON STREAM",IF(AND($G6=0,$H6&gt;0),"STATION ON STANDBY","STATION ON SHUTDOWN"))</f>
        <v>STATION ON STREAM</v>
      </c>
      <c r="J6" s="56">
        <v>228.24</v>
      </c>
    </row>
    <row r="7" spans="1:10" ht="35.15" customHeight="1">
      <c r="A7" s="6"/>
      <c r="B7" s="7"/>
      <c r="C7" s="81"/>
      <c r="D7" s="12"/>
      <c r="E7" s="13" t="s">
        <v>13</v>
      </c>
      <c r="F7" s="14"/>
      <c r="G7" s="57">
        <f>G6</f>
        <v>55.178999999999988</v>
      </c>
      <c r="H7" s="15"/>
      <c r="I7" s="17"/>
      <c r="J7" s="19">
        <f>J6</f>
        <v>228.24</v>
      </c>
    </row>
    <row r="8" spans="1:10" ht="29.25" customHeight="1">
      <c r="A8" s="6"/>
      <c r="B8" s="7"/>
      <c r="C8" s="81"/>
      <c r="D8" s="12"/>
      <c r="E8" s="9" t="s">
        <v>19</v>
      </c>
      <c r="F8" s="10">
        <v>25</v>
      </c>
      <c r="G8" s="58">
        <v>4.9850000000000003</v>
      </c>
      <c r="H8" s="16" t="s">
        <v>158</v>
      </c>
      <c r="I8" s="17" t="str">
        <f>IF($G8&gt;0,"STATION ON STREAM",IF(AND($G8=0,$H9&gt;0),"STATION ON STANDBY","STATION ON SHUTDOWN"))</f>
        <v>STATION ON STREAM</v>
      </c>
      <c r="J8" s="56">
        <v>85.9</v>
      </c>
    </row>
    <row r="9" spans="1:10" ht="35.15" customHeight="1">
      <c r="A9" s="6"/>
      <c r="B9" s="7"/>
      <c r="C9" s="81"/>
      <c r="D9" s="12"/>
      <c r="E9" s="9" t="s">
        <v>20</v>
      </c>
      <c r="F9" s="10">
        <v>0</v>
      </c>
      <c r="G9" s="58">
        <v>6.0730000000000004</v>
      </c>
      <c r="H9" s="16" t="s">
        <v>35</v>
      </c>
      <c r="I9" s="17" t="str">
        <f t="shared" ref="I9:I13" si="0">IF($G9&gt;0,"STATION ON STREAM",IF(AND($G9=0,$H9&gt;0),"STATION ON STANDBY","STATION ON SHUTDOWN"))</f>
        <v>STATION ON STREAM</v>
      </c>
      <c r="J9" s="56">
        <v>73.03</v>
      </c>
    </row>
    <row r="10" spans="1:10" ht="35.15" customHeight="1">
      <c r="A10" s="6"/>
      <c r="B10" s="7"/>
      <c r="C10" s="81"/>
      <c r="D10" s="12"/>
      <c r="E10" s="9" t="s">
        <v>22</v>
      </c>
      <c r="F10" s="21">
        <v>25</v>
      </c>
      <c r="G10" s="58">
        <v>18.495000000000001</v>
      </c>
      <c r="H10" s="16" t="s">
        <v>157</v>
      </c>
      <c r="I10" s="17" t="str">
        <f t="shared" si="0"/>
        <v>STATION ON STREAM</v>
      </c>
      <c r="J10" s="56">
        <v>79.06</v>
      </c>
    </row>
    <row r="11" spans="1:10" ht="35.15" customHeight="1">
      <c r="A11" s="6"/>
      <c r="B11" s="7"/>
      <c r="C11" s="81"/>
      <c r="D11" s="12"/>
      <c r="E11" s="9" t="s">
        <v>23</v>
      </c>
      <c r="F11" s="10">
        <v>25</v>
      </c>
      <c r="G11" s="58">
        <v>14.237</v>
      </c>
      <c r="H11" s="16" t="s">
        <v>99</v>
      </c>
      <c r="I11" s="17" t="str">
        <f t="shared" si="0"/>
        <v>STATION ON STREAM</v>
      </c>
      <c r="J11" s="56">
        <v>43.916666666666664</v>
      </c>
    </row>
    <row r="12" spans="1:10" ht="35.15" customHeight="1">
      <c r="A12" s="6"/>
      <c r="B12" s="7"/>
      <c r="C12" s="81"/>
      <c r="D12" s="12"/>
      <c r="E12" s="9" t="s">
        <v>24</v>
      </c>
      <c r="F12" s="10">
        <v>0</v>
      </c>
      <c r="G12" s="58">
        <v>0</v>
      </c>
      <c r="H12" s="16" t="s">
        <v>114</v>
      </c>
      <c r="I12" s="17" t="str">
        <f t="shared" si="0"/>
        <v>STATION ON STANDBY</v>
      </c>
      <c r="J12" s="56">
        <v>0</v>
      </c>
    </row>
    <row r="13" spans="1:10" ht="35.15" customHeight="1">
      <c r="A13" s="6"/>
      <c r="B13" s="7"/>
      <c r="C13" s="81"/>
      <c r="D13" s="12"/>
      <c r="E13" s="9" t="s">
        <v>25</v>
      </c>
      <c r="F13" s="10">
        <v>96.34</v>
      </c>
      <c r="G13" s="58">
        <v>61.177</v>
      </c>
      <c r="H13" s="11" t="s">
        <v>159</v>
      </c>
      <c r="I13" s="17" t="str">
        <f t="shared" si="0"/>
        <v>STATION ON STREAM</v>
      </c>
      <c r="J13" s="56">
        <v>257.63</v>
      </c>
    </row>
    <row r="14" spans="1:10" ht="35.15" customHeight="1">
      <c r="A14" s="6"/>
      <c r="B14" s="7"/>
      <c r="C14" s="81"/>
      <c r="D14" s="12"/>
      <c r="E14" s="13" t="s">
        <v>13</v>
      </c>
      <c r="F14" s="14"/>
      <c r="G14" s="57">
        <f>SUM(G8:G13)</f>
        <v>104.967</v>
      </c>
      <c r="H14" s="15"/>
      <c r="I14" s="17"/>
      <c r="J14" s="19">
        <f>SUM(J8:J13)</f>
        <v>539.53666666666663</v>
      </c>
    </row>
    <row r="15" spans="1:10" ht="35.15" customHeight="1">
      <c r="A15" s="6"/>
      <c r="B15" s="7"/>
      <c r="C15" s="69"/>
      <c r="D15" s="8"/>
      <c r="E15" s="9" t="s">
        <v>27</v>
      </c>
      <c r="F15" s="21"/>
      <c r="G15" s="21">
        <v>53.6</v>
      </c>
      <c r="H15" s="11" t="s">
        <v>160</v>
      </c>
      <c r="I15" s="17" t="str">
        <f t="shared" ref="I15:I18" si="1">IF($G15&gt;0,"STATION ON STREAM",IF(AND($G15=0,$H15&gt;0),"STATION ON STANDBY","STATION ON SHUTDOWN"))</f>
        <v>STATION ON STREAM</v>
      </c>
      <c r="J15" s="17"/>
    </row>
    <row r="16" spans="1:10" ht="35.15" customHeight="1">
      <c r="A16" s="6"/>
      <c r="B16" s="7"/>
      <c r="C16" s="70"/>
      <c r="D16" s="12"/>
      <c r="E16" s="9" t="s">
        <v>29</v>
      </c>
      <c r="F16" s="21"/>
      <c r="G16" s="58">
        <v>9.0519999999999996</v>
      </c>
      <c r="H16" s="11" t="s">
        <v>161</v>
      </c>
      <c r="I16" s="17" t="str">
        <f t="shared" si="1"/>
        <v>STATION ON STREAM</v>
      </c>
      <c r="J16" s="17"/>
    </row>
    <row r="17" spans="1:10" ht="35.15" customHeight="1">
      <c r="A17" s="6"/>
      <c r="B17" s="7"/>
      <c r="C17" s="70"/>
      <c r="D17" s="12"/>
      <c r="E17" s="9" t="s">
        <v>31</v>
      </c>
      <c r="F17" s="21"/>
      <c r="G17" s="58">
        <v>2.1000000000000001E-2</v>
      </c>
      <c r="H17" s="11" t="s">
        <v>162</v>
      </c>
      <c r="I17" s="17" t="str">
        <f t="shared" si="1"/>
        <v>STATION ON STREAM</v>
      </c>
      <c r="J17" s="17"/>
    </row>
    <row r="18" spans="1:10" ht="35.15" customHeight="1">
      <c r="A18" s="6"/>
      <c r="B18" s="7"/>
      <c r="C18" s="70"/>
      <c r="D18" s="12"/>
      <c r="E18" s="9" t="s">
        <v>33</v>
      </c>
      <c r="F18" s="21"/>
      <c r="G18" s="58">
        <v>16.327999999999999</v>
      </c>
      <c r="H18" s="11" t="s">
        <v>163</v>
      </c>
      <c r="I18" s="17" t="str">
        <f t="shared" si="1"/>
        <v>STATION ON STREAM</v>
      </c>
      <c r="J18" s="17"/>
    </row>
    <row r="19" spans="1:10" ht="34.5" customHeight="1">
      <c r="A19" s="72"/>
      <c r="B19" s="73"/>
      <c r="C19" s="74"/>
      <c r="D19" s="12"/>
      <c r="E19" s="17" t="s">
        <v>47</v>
      </c>
      <c r="F19" s="49"/>
      <c r="G19" s="59">
        <v>0.01</v>
      </c>
      <c r="H19" s="16" t="s">
        <v>43</v>
      </c>
      <c r="I19" s="17" t="str">
        <f t="shared" ref="I19:I20" si="2">IF($G19&gt;0,"STATION ON STREAM",IF(AND($G19=0,$H19&gt;0),"STATION ON STANDBY","STATION ON SHUTDOWN"))</f>
        <v>STATION ON STREAM</v>
      </c>
      <c r="J19" s="17"/>
    </row>
    <row r="20" spans="1:10" ht="34.5" customHeight="1">
      <c r="A20" s="72"/>
      <c r="B20" s="73"/>
      <c r="C20" s="74"/>
      <c r="D20" s="12"/>
      <c r="E20" s="17" t="s">
        <v>49</v>
      </c>
      <c r="F20" s="49"/>
      <c r="G20" s="59">
        <v>4.0000000000000001E-3</v>
      </c>
      <c r="H20" s="16" t="s">
        <v>43</v>
      </c>
      <c r="I20" s="17" t="str">
        <f t="shared" si="2"/>
        <v>STATION ON STREAM</v>
      </c>
      <c r="J20" s="17"/>
    </row>
    <row r="21" spans="1:10" ht="35.15" customHeight="1">
      <c r="A21" s="72"/>
      <c r="B21" s="73"/>
      <c r="C21" s="71"/>
      <c r="D21" s="12"/>
      <c r="E21" s="13" t="s">
        <v>13</v>
      </c>
      <c r="F21" s="14"/>
      <c r="G21" s="60">
        <f>SUM(G15:G20)</f>
        <v>79.015000000000015</v>
      </c>
      <c r="H21" s="20"/>
      <c r="I21" s="17"/>
      <c r="J21" s="17"/>
    </row>
    <row r="22" spans="1:10" ht="35.15" customHeight="1">
      <c r="A22" s="72"/>
      <c r="B22" s="73"/>
      <c r="C22" s="68"/>
      <c r="D22" s="12"/>
      <c r="E22" s="9" t="s">
        <v>50</v>
      </c>
      <c r="F22" s="21"/>
      <c r="G22" s="21">
        <v>1.84</v>
      </c>
      <c r="H22" s="21" t="s">
        <v>12</v>
      </c>
      <c r="I22" s="17" t="str">
        <f>IF($G22&gt;0,"STATION ON STREAM",IF(AND($G22=0,$H22&gt;0),"STATION ON STANDBY","STATION ON SHUTDOWN"))</f>
        <v>STATION ON STREAM</v>
      </c>
      <c r="J22" s="17"/>
    </row>
    <row r="23" spans="1:10" ht="35.15" customHeight="1">
      <c r="A23" s="72"/>
      <c r="B23" s="73"/>
      <c r="C23" s="68"/>
      <c r="D23" s="12"/>
      <c r="E23" s="13" t="s">
        <v>13</v>
      </c>
      <c r="F23" s="14"/>
      <c r="G23" s="61">
        <f>SUM(G22)</f>
        <v>1.84</v>
      </c>
      <c r="H23" s="23"/>
      <c r="I23" s="17"/>
      <c r="J23" s="17"/>
    </row>
    <row r="24" spans="1:10" ht="35.15" customHeight="1">
      <c r="A24" s="6"/>
      <c r="B24" s="24"/>
      <c r="C24" s="84" t="s">
        <v>51</v>
      </c>
      <c r="D24" s="12"/>
      <c r="E24" s="9" t="s">
        <v>52</v>
      </c>
      <c r="F24" s="50">
        <v>50</v>
      </c>
      <c r="G24" s="62">
        <v>43.279000000000003</v>
      </c>
      <c r="H24" s="22">
        <v>40</v>
      </c>
      <c r="I24" s="17" t="str">
        <f t="shared" ref="I24:I27" si="3">IF($G24&gt;0,"STATION ON STREAM",IF(AND($G24=0,$H24&gt;0),"STATION ON STANDBY","STATION ON SHUTDOWN"))</f>
        <v>STATION ON STREAM</v>
      </c>
      <c r="J24" s="17"/>
    </row>
    <row r="25" spans="1:10" ht="35.15" customHeight="1">
      <c r="A25" s="25"/>
      <c r="B25" s="24"/>
      <c r="C25" s="85"/>
      <c r="D25" s="12"/>
      <c r="E25" s="9" t="s">
        <v>53</v>
      </c>
      <c r="F25" s="50">
        <v>1</v>
      </c>
      <c r="G25" s="62">
        <v>0.78500000000000003</v>
      </c>
      <c r="H25" s="22" t="s">
        <v>54</v>
      </c>
      <c r="I25" s="17" t="str">
        <f t="shared" si="3"/>
        <v>STATION ON STREAM</v>
      </c>
      <c r="J25" s="17"/>
    </row>
    <row r="26" spans="1:10" ht="35.15" customHeight="1">
      <c r="A26" s="25"/>
      <c r="B26" s="24"/>
      <c r="C26" s="85"/>
      <c r="D26" s="8"/>
      <c r="E26" s="9" t="s">
        <v>55</v>
      </c>
      <c r="F26" s="50">
        <v>189</v>
      </c>
      <c r="G26" s="62">
        <v>188.43</v>
      </c>
      <c r="H26" s="22" t="s">
        <v>164</v>
      </c>
      <c r="I26" s="17" t="str">
        <f t="shared" si="3"/>
        <v>STATION ON STREAM</v>
      </c>
      <c r="J26" s="42"/>
    </row>
    <row r="27" spans="1:10" ht="35.15" customHeight="1">
      <c r="A27" s="25"/>
      <c r="B27" s="24"/>
      <c r="C27" s="86"/>
      <c r="D27" s="12"/>
      <c r="E27" s="9" t="s">
        <v>57</v>
      </c>
      <c r="F27" s="50">
        <v>0.3</v>
      </c>
      <c r="G27" s="62">
        <v>0.40899999999999997</v>
      </c>
      <c r="H27" s="22" t="s">
        <v>58</v>
      </c>
      <c r="I27" s="17" t="str">
        <f t="shared" si="3"/>
        <v>STATION ON STREAM</v>
      </c>
      <c r="J27" s="21">
        <v>0</v>
      </c>
    </row>
    <row r="28" spans="1:10" ht="35.15" customHeight="1">
      <c r="A28" s="25"/>
      <c r="B28" s="24"/>
      <c r="C28" s="87"/>
      <c r="D28" s="8"/>
      <c r="E28" s="13" t="s">
        <v>13</v>
      </c>
      <c r="F28" s="26"/>
      <c r="G28" s="57">
        <f>SUM(G24+G25+G26+G27)</f>
        <v>232.90299999999999</v>
      </c>
      <c r="H28" s="15"/>
      <c r="I28" s="17"/>
      <c r="J28" s="21"/>
    </row>
    <row r="29" spans="1:10" ht="35.15" customHeight="1">
      <c r="A29" s="25"/>
      <c r="B29" s="24"/>
      <c r="C29" s="84" t="s">
        <v>59</v>
      </c>
      <c r="D29" s="12"/>
      <c r="E29" s="9" t="s">
        <v>60</v>
      </c>
      <c r="F29" s="21">
        <v>96</v>
      </c>
      <c r="G29" s="58">
        <v>84.888000000000005</v>
      </c>
      <c r="H29" s="11">
        <v>46</v>
      </c>
      <c r="I29" s="17" t="str">
        <f>IF($G29&gt;0,"STATION ON STREAM",IF(AND($G29=0,$H29&gt;0),"STATION ON STANDBY","STATION ON SHUTDOWN"))</f>
        <v>STATION ON STREAM</v>
      </c>
      <c r="J29" s="21">
        <f>G35*4</f>
        <v>0</v>
      </c>
    </row>
    <row r="30" spans="1:10" ht="35.15" customHeight="1">
      <c r="A30" s="28"/>
      <c r="B30" s="29"/>
      <c r="C30" s="87"/>
      <c r="D30" s="12"/>
      <c r="E30" s="13" t="s">
        <v>13</v>
      </c>
      <c r="F30" s="14"/>
      <c r="G30" s="63">
        <f>SUM(G29)</f>
        <v>84.888000000000005</v>
      </c>
      <c r="H30" s="27"/>
      <c r="I30" s="17"/>
      <c r="J30" s="17"/>
    </row>
    <row r="31" spans="1:10" ht="35.15" customHeight="1">
      <c r="A31" s="25"/>
      <c r="B31" s="24"/>
      <c r="C31" s="30" t="s">
        <v>61</v>
      </c>
      <c r="D31" s="30"/>
      <c r="E31" s="13" t="s">
        <v>62</v>
      </c>
      <c r="F31" s="13"/>
      <c r="G31" s="66">
        <f>SUM(G7+G14+G21+G23+G28+G30)</f>
        <v>558.79200000000003</v>
      </c>
      <c r="H31" s="27"/>
      <c r="I31" s="17"/>
      <c r="J31" s="17"/>
    </row>
    <row r="32" spans="1:10" ht="34.5" customHeight="1">
      <c r="A32" s="32"/>
      <c r="B32" s="24"/>
      <c r="C32" s="84" t="s">
        <v>63</v>
      </c>
      <c r="D32" s="12"/>
      <c r="E32" s="9" t="s">
        <v>64</v>
      </c>
      <c r="F32" s="9"/>
      <c r="G32" s="67">
        <v>47.59</v>
      </c>
      <c r="H32" s="31" t="s">
        <v>65</v>
      </c>
      <c r="I32" s="17" t="str">
        <f>IF($G32&gt;0,"STATION ON STREAM",IF(AND($G32=0,$H32&gt;0),"STATION ON STANDBY","STATION ON SHUTDOWN"))</f>
        <v>STATION ON STREAM</v>
      </c>
      <c r="J32" s="17"/>
    </row>
    <row r="33" spans="1:11" ht="35.15" customHeight="1">
      <c r="A33" s="25"/>
      <c r="B33" s="24"/>
      <c r="C33" s="88"/>
      <c r="D33" s="8"/>
      <c r="E33" s="13" t="s">
        <v>13</v>
      </c>
      <c r="F33" s="14"/>
      <c r="G33" s="57">
        <f>SUM(G32)</f>
        <v>47.59</v>
      </c>
      <c r="H33" s="27"/>
      <c r="I33" s="17"/>
      <c r="J33" s="17"/>
    </row>
    <row r="34" spans="1:11" ht="35.15" customHeight="1">
      <c r="A34" s="25"/>
      <c r="B34" s="24"/>
      <c r="C34" s="84" t="s">
        <v>14</v>
      </c>
      <c r="D34" s="8"/>
      <c r="E34" s="9" t="s">
        <v>66</v>
      </c>
      <c r="F34" s="9"/>
      <c r="G34" s="9">
        <v>11.281000000000001</v>
      </c>
      <c r="H34" s="31" t="s">
        <v>67</v>
      </c>
      <c r="I34" s="17" t="str">
        <f>IF($G34&gt;0,"STATION ON STREAM",IF(AND($G34=0,$H34&gt;0),"STATION ON STANDBY","STATION ON SHUTDOWN"))</f>
        <v>STATION ON STREAM</v>
      </c>
      <c r="J34" s="17"/>
    </row>
    <row r="35" spans="1:11" ht="35.15" customHeight="1">
      <c r="A35" s="25"/>
      <c r="B35" s="24"/>
      <c r="C35" s="85"/>
      <c r="D35" s="12"/>
      <c r="E35" s="9" t="s">
        <v>68</v>
      </c>
      <c r="F35" s="9"/>
      <c r="G35" s="65">
        <v>0</v>
      </c>
      <c r="H35" s="31" t="s">
        <v>65</v>
      </c>
      <c r="I35" s="17" t="str">
        <f>IF($G35&gt;0,"STATION ON STREAM",IF(AND($G35=0,$H35&gt;0),"STATION ON STANDBY","STATION ON SHUTDOWN"))</f>
        <v>STATION ON STANDBY</v>
      </c>
      <c r="J35" s="17"/>
    </row>
    <row r="36" spans="1:11" ht="35.25" customHeight="1">
      <c r="A36" s="25"/>
      <c r="B36" s="24"/>
      <c r="C36" s="85"/>
      <c r="D36" s="12"/>
      <c r="E36" s="13" t="s">
        <v>13</v>
      </c>
      <c r="F36" s="14"/>
      <c r="G36" s="57">
        <f>SUM(G34:G35)</f>
        <v>11.281000000000001</v>
      </c>
      <c r="H36" s="27"/>
      <c r="I36" s="17"/>
      <c r="J36" s="17"/>
    </row>
    <row r="37" spans="1:11" ht="35.15" customHeight="1">
      <c r="A37" s="25"/>
      <c r="B37" s="24"/>
      <c r="C37" s="85"/>
      <c r="D37" s="12"/>
      <c r="E37" s="9" t="s">
        <v>69</v>
      </c>
      <c r="F37" s="9"/>
      <c r="G37" s="64">
        <v>0</v>
      </c>
      <c r="H37" s="31" t="s">
        <v>65</v>
      </c>
      <c r="I37" s="17" t="str">
        <f>IF($G37&gt;0,"STATION ON STREAM",IF(AND($G37=0,$H37&gt;0),"STATION ON STANDBY","STATION ON SHUTDOWN"))</f>
        <v>STATION ON STANDBY</v>
      </c>
      <c r="J37" s="17"/>
    </row>
    <row r="38" spans="1:11" ht="35.15" customHeight="1">
      <c r="A38" s="33" t="s">
        <v>70</v>
      </c>
      <c r="B38" s="24"/>
      <c r="C38" s="87"/>
      <c r="D38" s="12"/>
      <c r="E38" s="9" t="s">
        <v>71</v>
      </c>
      <c r="F38" s="9"/>
      <c r="G38" s="51">
        <v>0</v>
      </c>
      <c r="H38" s="31" t="s">
        <v>136</v>
      </c>
      <c r="I38" s="17" t="str">
        <f>IF($G38&gt;0,"STATION ON STREAM",IF(AND($G38=0,$H38&gt;0),"STATION ON STANDBY","STATION ON SHUTDOWN"))</f>
        <v>STATION ON STANDBY</v>
      </c>
      <c r="J38" s="17"/>
    </row>
    <row r="39" spans="1:11" ht="35.15" customHeight="1">
      <c r="A39" s="25"/>
      <c r="B39" s="24"/>
      <c r="C39" s="68"/>
      <c r="D39" s="12"/>
      <c r="E39" s="9" t="s">
        <v>72</v>
      </c>
      <c r="F39" s="9"/>
      <c r="G39" s="64">
        <v>0</v>
      </c>
      <c r="H39" s="31" t="s">
        <v>73</v>
      </c>
      <c r="I39" s="17" t="str">
        <f>IF($G39&gt;0,"STATION ON STREAM",IF(AND($G39=0,$H39&gt;0),"STATION ON STANDBY","STATION ON SHUTDOWN"))</f>
        <v>STATION ON STANDBY</v>
      </c>
      <c r="J39" s="17"/>
    </row>
    <row r="40" spans="1:11" ht="35.15" customHeight="1">
      <c r="A40" s="25"/>
      <c r="B40" s="24"/>
      <c r="C40" s="84" t="s">
        <v>74</v>
      </c>
      <c r="D40" s="8"/>
      <c r="E40" s="9" t="s">
        <v>75</v>
      </c>
      <c r="F40" s="9"/>
      <c r="G40" s="64">
        <v>1.6879999999999999</v>
      </c>
      <c r="H40" s="31" t="s">
        <v>146</v>
      </c>
      <c r="I40" s="17" t="str">
        <f>IF($G40&gt;0,"STATION ON STREAM",IF(AND($G40=0,$H40&gt;0),"STATION ON STANDBY","STATION ON SHUTDOWN"))</f>
        <v>STATION ON STREAM</v>
      </c>
      <c r="J40" s="17"/>
      <c r="K40" s="43"/>
    </row>
    <row r="41" spans="1:11" ht="35.15" customHeight="1">
      <c r="A41" s="25"/>
      <c r="B41" s="24"/>
      <c r="C41" s="88"/>
      <c r="D41" s="8"/>
      <c r="E41" s="13" t="s">
        <v>13</v>
      </c>
      <c r="F41" s="14"/>
      <c r="G41" s="57">
        <f>SUM(G37:G40)</f>
        <v>1.6879999999999999</v>
      </c>
      <c r="H41" s="27"/>
      <c r="I41" s="17"/>
      <c r="J41" s="17"/>
      <c r="K41" s="44"/>
    </row>
    <row r="42" spans="1:11" ht="35.15" customHeight="1">
      <c r="A42" s="32"/>
      <c r="B42" s="24"/>
      <c r="C42" s="69" t="s">
        <v>51</v>
      </c>
      <c r="D42" s="8"/>
      <c r="E42" s="9" t="s">
        <v>77</v>
      </c>
      <c r="F42" s="9"/>
      <c r="G42" s="52">
        <v>2.11</v>
      </c>
      <c r="H42" s="35">
        <v>44</v>
      </c>
      <c r="I42" s="17" t="str">
        <f t="shared" ref="I42:I43" si="4">IF($G42&gt;0,"STATION ON STREAM",IF(AND($G42=0,$H42&gt;0),"STATION ON STANDBY","STATION ON SHUTDOWN"))</f>
        <v>STATION ON STREAM</v>
      </c>
      <c r="J42" s="42"/>
    </row>
    <row r="43" spans="1:11" ht="35.15" customHeight="1">
      <c r="A43" s="32"/>
      <c r="B43" s="24"/>
      <c r="C43" s="89"/>
      <c r="D43" s="8"/>
      <c r="E43" s="9" t="s">
        <v>78</v>
      </c>
      <c r="F43" s="9"/>
      <c r="G43" s="53">
        <v>0</v>
      </c>
      <c r="H43" s="35">
        <v>0</v>
      </c>
      <c r="I43" s="17" t="str">
        <f t="shared" si="4"/>
        <v>STATION ON SHUTDOWN</v>
      </c>
      <c r="J43" s="17"/>
    </row>
    <row r="44" spans="1:11" ht="35.15" customHeight="1">
      <c r="A44" s="36"/>
      <c r="B44" s="36"/>
      <c r="C44" s="89"/>
      <c r="D44" s="8"/>
      <c r="E44" s="9" t="s">
        <v>79</v>
      </c>
      <c r="F44" s="9"/>
      <c r="G44" s="53">
        <v>2.2400000000000002</v>
      </c>
      <c r="H44" s="35">
        <v>15</v>
      </c>
      <c r="I44" s="17" t="str">
        <f>IF($G45&gt;0,"STATION ON STREAM",IF(AND($G45=0,$H44&gt;0),"STATION ON STANDBY","STATION ON SHUTDOWN"))</f>
        <v>STATION ON STANDBY</v>
      </c>
      <c r="J44" s="42"/>
    </row>
    <row r="45" spans="1:11" ht="26.25" customHeight="1">
      <c r="A45" s="36"/>
      <c r="B45" s="36"/>
      <c r="C45" s="90"/>
      <c r="D45" s="8"/>
      <c r="E45" s="9" t="s">
        <v>80</v>
      </c>
      <c r="F45" s="9"/>
      <c r="G45" s="51">
        <v>0</v>
      </c>
      <c r="H45" s="35">
        <v>35</v>
      </c>
      <c r="I45" s="17" t="str">
        <f>IF($G45&gt;0,"STATION ON STREAM",IF(AND($G45=0,$H45&gt;0),"STATION ON STANDBY","STATION ON SHUTDOWN"))</f>
        <v>STATION ON STANDBY</v>
      </c>
      <c r="J45" s="42"/>
    </row>
    <row r="46" spans="1:11" ht="21" customHeight="1">
      <c r="A46" s="82"/>
      <c r="B46" s="83"/>
      <c r="C46" s="30"/>
      <c r="D46" s="12"/>
      <c r="E46" s="13" t="s">
        <v>13</v>
      </c>
      <c r="F46" s="14" t="s">
        <v>62</v>
      </c>
      <c r="G46" s="57">
        <f>SUM(G42:G45)</f>
        <v>4.3499999999999996</v>
      </c>
      <c r="H46" s="37"/>
      <c r="I46" s="14" t="s">
        <v>81</v>
      </c>
      <c r="J46" s="42"/>
    </row>
    <row r="47" spans="1:11" ht="25.5" customHeight="1">
      <c r="A47" s="38"/>
      <c r="B47" s="38"/>
      <c r="C47" s="30" t="s">
        <v>61</v>
      </c>
      <c r="D47" s="30"/>
      <c r="E47" s="13" t="s">
        <v>62</v>
      </c>
      <c r="F47" s="13" t="s">
        <v>62</v>
      </c>
      <c r="G47" s="57">
        <f>SUM(G33+G36+G41+G46)</f>
        <v>64.909000000000006</v>
      </c>
      <c r="H47" s="37"/>
      <c r="I47" s="13" t="s">
        <v>62</v>
      </c>
      <c r="J47" s="45"/>
    </row>
    <row r="48" spans="1:11" ht="18.5">
      <c r="A48" s="38"/>
      <c r="B48" s="38"/>
      <c r="C48" s="30" t="s">
        <v>82</v>
      </c>
      <c r="D48" s="30"/>
      <c r="E48" s="13" t="s">
        <v>62</v>
      </c>
      <c r="F48" s="13" t="s">
        <v>62</v>
      </c>
      <c r="G48" s="66">
        <f>SUM(G31+G47)</f>
        <v>623.70100000000002</v>
      </c>
      <c r="H48" s="39"/>
      <c r="I48" s="46"/>
      <c r="J48" s="47">
        <f>J14+J47+J7</f>
        <v>767.77666666666664</v>
      </c>
    </row>
    <row r="49" spans="1:10" ht="18.5">
      <c r="A49" s="38"/>
      <c r="B49" s="38"/>
      <c r="C49" s="34"/>
      <c r="D49" s="34"/>
      <c r="E49" s="34"/>
      <c r="F49" s="40"/>
      <c r="G49" s="40"/>
      <c r="H49" s="41"/>
      <c r="I49" s="40"/>
      <c r="J49" s="48"/>
    </row>
    <row r="50" spans="1:10" ht="18.5">
      <c r="C50" s="34"/>
      <c r="D50" s="34"/>
      <c r="E50" s="34"/>
      <c r="F50" s="34"/>
      <c r="G50" s="40"/>
      <c r="H50" s="41"/>
      <c r="I50" s="34"/>
      <c r="J50" s="34"/>
    </row>
  </sheetData>
  <sheetProtection formatCells="0" formatColumns="0" formatRows="0" insertColumns="0" insertRows="0"/>
  <mergeCells count="15">
    <mergeCell ref="A46:B46"/>
    <mergeCell ref="C24:C28"/>
    <mergeCell ref="C29:C30"/>
    <mergeCell ref="C32:C33"/>
    <mergeCell ref="C34:C38"/>
    <mergeCell ref="C40:C41"/>
    <mergeCell ref="C42:C45"/>
    <mergeCell ref="C15:C18"/>
    <mergeCell ref="A19:B23"/>
    <mergeCell ref="C19:C21"/>
    <mergeCell ref="A1:J2"/>
    <mergeCell ref="A3:J3"/>
    <mergeCell ref="A5:B5"/>
    <mergeCell ref="C6:C7"/>
    <mergeCell ref="C8:C14"/>
  </mergeCells>
  <printOptions horizontalCentered="1"/>
  <pageMargins left="0.196850393700787" right="0.196850393700787" top="0" bottom="0" header="0.118110236220472" footer="0.118110236220472"/>
  <pageSetup paperSize="9" scale="40" fitToHeight="0" orientation="portrait" verticalDpi="300" r:id="rId1"/>
  <headerFooter alignWithMargins="0">
    <oddHeader>&amp;C&amp;KFFA500&amp;10&amp;"Calibri"Confidential: Internal Use Only</oddHeader>
    <oddFooter>&amp;C&amp;KFFA500&amp;10&amp;"Calibri"Confidential: Internal Use Only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580AF-F4B5-42CC-90D3-B723673A6BA5}">
  <sheetPr codeName="Sheet10">
    <pageSetUpPr fitToPage="1"/>
  </sheetPr>
  <dimension ref="A1:K50"/>
  <sheetViews>
    <sheetView showGridLines="0" tabSelected="1" view="pageBreakPreview" topLeftCell="C170" zoomScale="73" zoomScaleNormal="55" zoomScaleSheetLayoutView="73" zoomScalePageLayoutView="10" workbookViewId="0">
      <selection activeCell="A53" sqref="A50:XFD53"/>
    </sheetView>
  </sheetViews>
  <sheetFormatPr defaultColWidth="9" defaultRowHeight="14.5"/>
  <cols>
    <col min="1" max="1" width="15.26953125" customWidth="1"/>
    <col min="2" max="2" width="2.90625" customWidth="1"/>
    <col min="3" max="3" width="18.7265625" customWidth="1"/>
    <col min="4" max="4" width="29.7265625" customWidth="1"/>
    <col min="5" max="5" width="44.08984375" customWidth="1"/>
    <col min="6" max="6" width="22.26953125" customWidth="1"/>
    <col min="7" max="7" width="21" customWidth="1"/>
    <col min="8" max="8" width="23" style="1" customWidth="1"/>
    <col min="9" max="9" width="38.6328125" customWidth="1"/>
    <col min="10" max="10" width="20.36328125" customWidth="1"/>
    <col min="14" max="14" width="8.7265625" customWidth="1"/>
    <col min="15" max="15" width="8.08984375" customWidth="1"/>
    <col min="17" max="17" width="9.26953125" customWidth="1"/>
    <col min="21" max="21" width="9.08984375" customWidth="1"/>
  </cols>
  <sheetData>
    <row r="1" spans="1:10" ht="59.25" customHeight="1">
      <c r="A1" s="75" t="s">
        <v>0</v>
      </c>
      <c r="B1" s="75"/>
      <c r="C1" s="75"/>
      <c r="D1" s="75"/>
      <c r="E1" s="75"/>
      <c r="F1" s="75"/>
      <c r="G1" s="75"/>
      <c r="H1" s="75"/>
      <c r="I1" s="75"/>
      <c r="J1" s="75"/>
    </row>
    <row r="2" spans="1:10" ht="18.75" customHeight="1">
      <c r="A2" s="75"/>
      <c r="B2" s="75"/>
      <c r="C2" s="75"/>
      <c r="D2" s="75"/>
      <c r="E2" s="75"/>
      <c r="F2" s="75"/>
      <c r="G2" s="75"/>
      <c r="H2" s="75"/>
      <c r="I2" s="75"/>
      <c r="J2" s="75"/>
    </row>
    <row r="3" spans="1:10" ht="33" customHeight="1">
      <c r="A3" s="76" t="s">
        <v>242</v>
      </c>
      <c r="B3" s="77"/>
      <c r="C3" s="77"/>
      <c r="D3" s="77"/>
      <c r="E3" s="77"/>
      <c r="F3" s="77"/>
      <c r="G3" s="77"/>
      <c r="H3" s="77"/>
      <c r="I3" s="77"/>
      <c r="J3" s="77"/>
    </row>
    <row r="4" spans="1:10" ht="9.75" customHeight="1">
      <c r="A4" s="2"/>
      <c r="B4" s="2"/>
      <c r="C4" s="2"/>
      <c r="D4" s="2"/>
      <c r="E4" s="2"/>
      <c r="F4" s="2"/>
      <c r="G4" s="2"/>
      <c r="H4" s="3"/>
      <c r="I4" s="2" t="s">
        <v>1</v>
      </c>
      <c r="J4" s="2"/>
    </row>
    <row r="5" spans="1:10" ht="43">
      <c r="A5" s="78" t="s">
        <v>2</v>
      </c>
      <c r="B5" s="79"/>
      <c r="C5" s="4" t="s">
        <v>3</v>
      </c>
      <c r="D5" s="4"/>
      <c r="E5" s="4" t="s">
        <v>4</v>
      </c>
      <c r="F5" s="4" t="s">
        <v>5</v>
      </c>
      <c r="G5" s="4" t="s">
        <v>6</v>
      </c>
      <c r="H5" s="5" t="s">
        <v>7</v>
      </c>
      <c r="I5" s="4" t="s">
        <v>8</v>
      </c>
      <c r="J5" s="18" t="s">
        <v>9</v>
      </c>
    </row>
    <row r="6" spans="1:10" ht="40.5" customHeight="1">
      <c r="A6" s="6"/>
      <c r="B6" s="7"/>
      <c r="C6" s="80" t="s">
        <v>10</v>
      </c>
      <c r="D6" s="8"/>
      <c r="E6" s="9" t="s">
        <v>11</v>
      </c>
      <c r="F6" s="54">
        <v>47</v>
      </c>
      <c r="G6" s="54">
        <v>55.709999999999994</v>
      </c>
      <c r="H6" s="55" t="s">
        <v>12</v>
      </c>
      <c r="I6" s="17" t="str">
        <f>IF($G6&gt;0,"STATION ON STREAM",IF(AND($G6=0,$H6&gt;0),"STATION ON STANDBY","STATION ON SHUTDOWN"))</f>
        <v>STATION ON STREAM</v>
      </c>
      <c r="J6" s="56">
        <v>226.96</v>
      </c>
    </row>
    <row r="7" spans="1:10" ht="35.15" customHeight="1">
      <c r="A7" s="6"/>
      <c r="B7" s="7"/>
      <c r="C7" s="81"/>
      <c r="D7" s="12"/>
      <c r="E7" s="13" t="s">
        <v>13</v>
      </c>
      <c r="F7" s="14"/>
      <c r="G7" s="57">
        <f>G6</f>
        <v>55.709999999999994</v>
      </c>
      <c r="H7" s="15"/>
      <c r="I7" s="17"/>
      <c r="J7" s="19">
        <f>J6</f>
        <v>226.96</v>
      </c>
    </row>
    <row r="8" spans="1:10" ht="29.25" customHeight="1">
      <c r="A8" s="6"/>
      <c r="B8" s="7"/>
      <c r="C8" s="81"/>
      <c r="D8" s="12"/>
      <c r="E8" s="9" t="s">
        <v>19</v>
      </c>
      <c r="F8" s="10">
        <v>25</v>
      </c>
      <c r="G8" s="58">
        <v>18.308</v>
      </c>
      <c r="H8" s="16" t="s">
        <v>167</v>
      </c>
      <c r="I8" s="17" t="str">
        <f>IF($G8&gt;0,"STATION ON STREAM",IF(AND($G8=0,$H9&gt;0),"STATION ON STANDBY","STATION ON SHUTDOWN"))</f>
        <v>STATION ON STREAM</v>
      </c>
      <c r="J8" s="56">
        <v>102.73</v>
      </c>
    </row>
    <row r="9" spans="1:10" ht="35.15" customHeight="1">
      <c r="A9" s="6"/>
      <c r="B9" s="7"/>
      <c r="C9" s="81"/>
      <c r="D9" s="12"/>
      <c r="E9" s="9" t="s">
        <v>20</v>
      </c>
      <c r="F9" s="10">
        <v>0</v>
      </c>
      <c r="G9" s="58">
        <v>0</v>
      </c>
      <c r="H9" s="16" t="s">
        <v>168</v>
      </c>
      <c r="I9" s="17" t="str">
        <f t="shared" ref="I9:I13" si="0">IF($G9&gt;0,"STATION ON STREAM",IF(AND($G9=0,$H9&gt;0),"STATION ON STANDBY","STATION ON SHUTDOWN"))</f>
        <v>STATION ON STANDBY</v>
      </c>
      <c r="J9" s="56">
        <v>0</v>
      </c>
    </row>
    <row r="10" spans="1:10" ht="35.15" customHeight="1">
      <c r="A10" s="6"/>
      <c r="B10" s="7"/>
      <c r="C10" s="81"/>
      <c r="D10" s="12"/>
      <c r="E10" s="9" t="s">
        <v>22</v>
      </c>
      <c r="F10" s="21">
        <v>25</v>
      </c>
      <c r="G10" s="58">
        <v>13.553000000000001</v>
      </c>
      <c r="H10" s="16" t="s">
        <v>166</v>
      </c>
      <c r="I10" s="17" t="str">
        <f t="shared" si="0"/>
        <v>STATION ON STREAM</v>
      </c>
      <c r="J10" s="56">
        <v>77.27</v>
      </c>
    </row>
    <row r="11" spans="1:10" ht="35.15" customHeight="1">
      <c r="A11" s="6"/>
      <c r="B11" s="7"/>
      <c r="C11" s="81"/>
      <c r="D11" s="12"/>
      <c r="E11" s="9" t="s">
        <v>23</v>
      </c>
      <c r="F11" s="10">
        <v>25</v>
      </c>
      <c r="G11" s="58">
        <v>10.869</v>
      </c>
      <c r="H11" s="16" t="s">
        <v>99</v>
      </c>
      <c r="I11" s="17" t="str">
        <f t="shared" si="0"/>
        <v>STATION ON STREAM</v>
      </c>
      <c r="J11" s="56">
        <v>33.489583333333336</v>
      </c>
    </row>
    <row r="12" spans="1:10" ht="35.15" customHeight="1">
      <c r="A12" s="6"/>
      <c r="B12" s="7"/>
      <c r="C12" s="81"/>
      <c r="D12" s="12"/>
      <c r="E12" s="9" t="s">
        <v>24</v>
      </c>
      <c r="F12" s="10">
        <v>0</v>
      </c>
      <c r="G12" s="58">
        <v>0</v>
      </c>
      <c r="H12" s="16" t="s">
        <v>165</v>
      </c>
      <c r="I12" s="17" t="str">
        <f t="shared" si="0"/>
        <v>STATION ON STANDBY</v>
      </c>
      <c r="J12" s="56">
        <v>0</v>
      </c>
    </row>
    <row r="13" spans="1:10" ht="35.15" customHeight="1">
      <c r="A13" s="6"/>
      <c r="B13" s="7"/>
      <c r="C13" s="81"/>
      <c r="D13" s="12"/>
      <c r="E13" s="9" t="s">
        <v>25</v>
      </c>
      <c r="F13" s="10">
        <v>90.04</v>
      </c>
      <c r="G13" s="58">
        <v>63.119</v>
      </c>
      <c r="H13" s="11" t="s">
        <v>169</v>
      </c>
      <c r="I13" s="17" t="str">
        <f t="shared" si="0"/>
        <v>STATION ON STREAM</v>
      </c>
      <c r="J13" s="56">
        <v>265.85000000000002</v>
      </c>
    </row>
    <row r="14" spans="1:10" ht="35.15" customHeight="1">
      <c r="A14" s="6"/>
      <c r="B14" s="7"/>
      <c r="C14" s="81"/>
      <c r="D14" s="12"/>
      <c r="E14" s="13" t="s">
        <v>13</v>
      </c>
      <c r="F14" s="14"/>
      <c r="G14" s="57">
        <f>SUM(G8:G13)</f>
        <v>105.849</v>
      </c>
      <c r="H14" s="15"/>
      <c r="I14" s="17"/>
      <c r="J14" s="19">
        <f>SUM(J8:J13)</f>
        <v>479.33958333333339</v>
      </c>
    </row>
    <row r="15" spans="1:10" ht="35.15" customHeight="1">
      <c r="A15" s="6"/>
      <c r="B15" s="7"/>
      <c r="C15" s="69"/>
      <c r="D15" s="8"/>
      <c r="E15" s="9" t="s">
        <v>27</v>
      </c>
      <c r="F15" s="21"/>
      <c r="G15" s="21">
        <v>46.6</v>
      </c>
      <c r="H15" s="11" t="s">
        <v>170</v>
      </c>
      <c r="I15" s="17" t="str">
        <f t="shared" ref="I15:I18" si="1">IF($G15&gt;0,"STATION ON STREAM",IF(AND($G15=0,$H15&gt;0),"STATION ON STANDBY","STATION ON SHUTDOWN"))</f>
        <v>STATION ON STREAM</v>
      </c>
      <c r="J15" s="17"/>
    </row>
    <row r="16" spans="1:10" ht="35.15" customHeight="1">
      <c r="A16" s="6"/>
      <c r="B16" s="7"/>
      <c r="C16" s="70"/>
      <c r="D16" s="12"/>
      <c r="E16" s="9" t="s">
        <v>29</v>
      </c>
      <c r="F16" s="21"/>
      <c r="G16" s="58">
        <v>10.238</v>
      </c>
      <c r="H16" s="11" t="s">
        <v>171</v>
      </c>
      <c r="I16" s="17" t="str">
        <f t="shared" si="1"/>
        <v>STATION ON STREAM</v>
      </c>
      <c r="J16" s="17"/>
    </row>
    <row r="17" spans="1:10" ht="35.15" customHeight="1">
      <c r="A17" s="6"/>
      <c r="B17" s="7"/>
      <c r="C17" s="70"/>
      <c r="D17" s="12"/>
      <c r="E17" s="9" t="s">
        <v>31</v>
      </c>
      <c r="F17" s="21"/>
      <c r="G17" s="58">
        <v>2.1999999999999999E-2</v>
      </c>
      <c r="H17" s="11" t="s">
        <v>171</v>
      </c>
      <c r="I17" s="17" t="str">
        <f t="shared" si="1"/>
        <v>STATION ON STREAM</v>
      </c>
      <c r="J17" s="17"/>
    </row>
    <row r="18" spans="1:10" ht="35.15" customHeight="1">
      <c r="A18" s="6"/>
      <c r="B18" s="7"/>
      <c r="C18" s="70"/>
      <c r="D18" s="12"/>
      <c r="E18" s="9" t="s">
        <v>33</v>
      </c>
      <c r="F18" s="21"/>
      <c r="G18" s="58">
        <v>15.178000000000001</v>
      </c>
      <c r="H18" s="11" t="s">
        <v>172</v>
      </c>
      <c r="I18" s="17" t="str">
        <f t="shared" si="1"/>
        <v>STATION ON STREAM</v>
      </c>
      <c r="J18" s="17"/>
    </row>
    <row r="19" spans="1:10" ht="34.5" customHeight="1">
      <c r="A19" s="72"/>
      <c r="B19" s="73"/>
      <c r="C19" s="74"/>
      <c r="D19" s="12"/>
      <c r="E19" s="17" t="s">
        <v>47</v>
      </c>
      <c r="F19" s="49"/>
      <c r="G19" s="59">
        <v>0</v>
      </c>
      <c r="H19" s="16" t="s">
        <v>108</v>
      </c>
      <c r="I19" s="17" t="str">
        <f t="shared" ref="I19:I20" si="2">IF($G19&gt;0,"STATION ON STREAM",IF(AND($G19=0,$H19&gt;0),"STATION ON STANDBY","STATION ON SHUTDOWN"))</f>
        <v>STATION ON STANDBY</v>
      </c>
      <c r="J19" s="17"/>
    </row>
    <row r="20" spans="1:10" ht="34.5" customHeight="1">
      <c r="A20" s="72"/>
      <c r="B20" s="73"/>
      <c r="C20" s="74"/>
      <c r="D20" s="12"/>
      <c r="E20" s="17" t="s">
        <v>49</v>
      </c>
      <c r="F20" s="49"/>
      <c r="G20" s="59">
        <v>0</v>
      </c>
      <c r="H20" s="16" t="s">
        <v>108</v>
      </c>
      <c r="I20" s="17" t="str">
        <f t="shared" si="2"/>
        <v>STATION ON STANDBY</v>
      </c>
      <c r="J20" s="17"/>
    </row>
    <row r="21" spans="1:10" ht="35.15" customHeight="1">
      <c r="A21" s="72"/>
      <c r="B21" s="73"/>
      <c r="C21" s="71"/>
      <c r="D21" s="12"/>
      <c r="E21" s="13" t="s">
        <v>13</v>
      </c>
      <c r="F21" s="14"/>
      <c r="G21" s="60">
        <f>SUM(G15:G20)</f>
        <v>72.037999999999997</v>
      </c>
      <c r="H21" s="20"/>
      <c r="I21" s="17"/>
      <c r="J21" s="17"/>
    </row>
    <row r="22" spans="1:10" ht="35.15" customHeight="1">
      <c r="A22" s="72"/>
      <c r="B22" s="73"/>
      <c r="C22" s="68"/>
      <c r="D22" s="12"/>
      <c r="E22" s="9" t="s">
        <v>50</v>
      </c>
      <c r="F22" s="21"/>
      <c r="G22" s="21">
        <v>1.86</v>
      </c>
      <c r="H22" s="21" t="s">
        <v>12</v>
      </c>
      <c r="I22" s="17" t="str">
        <f>IF($G22&gt;0,"STATION ON STREAM",IF(AND($G22=0,$H22&gt;0),"STATION ON STANDBY","STATION ON SHUTDOWN"))</f>
        <v>STATION ON STREAM</v>
      </c>
      <c r="J22" s="17"/>
    </row>
    <row r="23" spans="1:10" ht="35.15" customHeight="1">
      <c r="A23" s="72"/>
      <c r="B23" s="73"/>
      <c r="C23" s="68"/>
      <c r="D23" s="12"/>
      <c r="E23" s="13" t="s">
        <v>13</v>
      </c>
      <c r="F23" s="14"/>
      <c r="G23" s="61">
        <f>SUM(G22)</f>
        <v>1.86</v>
      </c>
      <c r="H23" s="23"/>
      <c r="I23" s="17"/>
      <c r="J23" s="17"/>
    </row>
    <row r="24" spans="1:10" ht="35.15" customHeight="1">
      <c r="A24" s="6"/>
      <c r="B24" s="24"/>
      <c r="C24" s="84" t="s">
        <v>51</v>
      </c>
      <c r="D24" s="12"/>
      <c r="E24" s="9" t="s">
        <v>52</v>
      </c>
      <c r="F24" s="50">
        <v>38</v>
      </c>
      <c r="G24" s="62">
        <v>34.597999999999999</v>
      </c>
      <c r="H24" s="22">
        <v>46</v>
      </c>
      <c r="I24" s="17" t="str">
        <f t="shared" ref="I24:I27" si="3">IF($G24&gt;0,"STATION ON STREAM",IF(AND($G24=0,$H24&gt;0),"STATION ON STANDBY","STATION ON SHUTDOWN"))</f>
        <v>STATION ON STREAM</v>
      </c>
      <c r="J24" s="17"/>
    </row>
    <row r="25" spans="1:10" ht="35.15" customHeight="1">
      <c r="A25" s="25"/>
      <c r="B25" s="24"/>
      <c r="C25" s="85"/>
      <c r="D25" s="12"/>
      <c r="E25" s="9" t="s">
        <v>53</v>
      </c>
      <c r="F25" s="50">
        <v>1</v>
      </c>
      <c r="G25" s="62">
        <v>0.86799999999999999</v>
      </c>
      <c r="H25" s="22" t="s">
        <v>54</v>
      </c>
      <c r="I25" s="17" t="str">
        <f t="shared" si="3"/>
        <v>STATION ON STREAM</v>
      </c>
      <c r="J25" s="17"/>
    </row>
    <row r="26" spans="1:10" ht="35.15" customHeight="1">
      <c r="A26" s="25"/>
      <c r="B26" s="24"/>
      <c r="C26" s="85"/>
      <c r="D26" s="8"/>
      <c r="E26" s="9" t="s">
        <v>55</v>
      </c>
      <c r="F26" s="50">
        <v>189</v>
      </c>
      <c r="G26" s="62">
        <v>187.54499999999999</v>
      </c>
      <c r="H26" s="22" t="s">
        <v>173</v>
      </c>
      <c r="I26" s="17" t="str">
        <f t="shared" si="3"/>
        <v>STATION ON STREAM</v>
      </c>
      <c r="J26" s="42"/>
    </row>
    <row r="27" spans="1:10" ht="35.15" customHeight="1">
      <c r="A27" s="25"/>
      <c r="B27" s="24"/>
      <c r="C27" s="86"/>
      <c r="D27" s="12"/>
      <c r="E27" s="9" t="s">
        <v>57</v>
      </c>
      <c r="F27" s="50">
        <v>0.3</v>
      </c>
      <c r="G27" s="62">
        <v>0.42199999999999999</v>
      </c>
      <c r="H27" s="22" t="s">
        <v>58</v>
      </c>
      <c r="I27" s="17" t="str">
        <f t="shared" si="3"/>
        <v>STATION ON STREAM</v>
      </c>
      <c r="J27" s="21">
        <v>0</v>
      </c>
    </row>
    <row r="28" spans="1:10" ht="35.15" customHeight="1">
      <c r="A28" s="25"/>
      <c r="B28" s="24"/>
      <c r="C28" s="87"/>
      <c r="D28" s="8"/>
      <c r="E28" s="13" t="s">
        <v>13</v>
      </c>
      <c r="F28" s="26"/>
      <c r="G28" s="57">
        <f>SUM(G24+G25+G26+G27)</f>
        <v>223.43299999999999</v>
      </c>
      <c r="H28" s="15"/>
      <c r="I28" s="17"/>
      <c r="J28" s="21"/>
    </row>
    <row r="29" spans="1:10" ht="35.15" customHeight="1">
      <c r="A29" s="25"/>
      <c r="B29" s="24"/>
      <c r="C29" s="84" t="s">
        <v>59</v>
      </c>
      <c r="D29" s="12"/>
      <c r="E29" s="9" t="s">
        <v>60</v>
      </c>
      <c r="F29" s="21">
        <v>96</v>
      </c>
      <c r="G29" s="58">
        <v>84.850999999999999</v>
      </c>
      <c r="H29" s="11">
        <v>50</v>
      </c>
      <c r="I29" s="17" t="str">
        <f>IF($G29&gt;0,"STATION ON STREAM",IF(AND($G29=0,$H29&gt;0),"STATION ON STANDBY","STATION ON SHUTDOWN"))</f>
        <v>STATION ON STREAM</v>
      </c>
      <c r="J29" s="21">
        <f>G35*4</f>
        <v>0</v>
      </c>
    </row>
    <row r="30" spans="1:10" ht="35.15" customHeight="1">
      <c r="A30" s="28"/>
      <c r="B30" s="29"/>
      <c r="C30" s="87"/>
      <c r="D30" s="12"/>
      <c r="E30" s="13" t="s">
        <v>13</v>
      </c>
      <c r="F30" s="14"/>
      <c r="G30" s="63">
        <f>SUM(G29)</f>
        <v>84.850999999999999</v>
      </c>
      <c r="H30" s="27"/>
      <c r="I30" s="17"/>
      <c r="J30" s="17"/>
    </row>
    <row r="31" spans="1:10" ht="35.15" customHeight="1">
      <c r="A31" s="25"/>
      <c r="B31" s="24"/>
      <c r="C31" s="30" t="s">
        <v>61</v>
      </c>
      <c r="D31" s="30"/>
      <c r="E31" s="13" t="s">
        <v>62</v>
      </c>
      <c r="F31" s="13"/>
      <c r="G31" s="66">
        <f>SUM(G7+G14+G21+G23+G28+G30)</f>
        <v>543.74099999999999</v>
      </c>
      <c r="H31" s="27"/>
      <c r="I31" s="17"/>
      <c r="J31" s="17"/>
    </row>
    <row r="32" spans="1:10" ht="34.5" customHeight="1">
      <c r="A32" s="32"/>
      <c r="B32" s="24"/>
      <c r="C32" s="84" t="s">
        <v>63</v>
      </c>
      <c r="D32" s="12"/>
      <c r="E32" s="9" t="s">
        <v>64</v>
      </c>
      <c r="F32" s="9"/>
      <c r="G32" s="67">
        <v>55.219000000000001</v>
      </c>
      <c r="H32" s="31" t="s">
        <v>65</v>
      </c>
      <c r="I32" s="17" t="str">
        <f>IF($G32&gt;0,"STATION ON STREAM",IF(AND($G32=0,$H32&gt;0),"STATION ON STANDBY","STATION ON SHUTDOWN"))</f>
        <v>STATION ON STREAM</v>
      </c>
      <c r="J32" s="17"/>
    </row>
    <row r="33" spans="1:11" ht="35.15" customHeight="1">
      <c r="A33" s="25"/>
      <c r="B33" s="24"/>
      <c r="C33" s="88"/>
      <c r="D33" s="8"/>
      <c r="E33" s="13" t="s">
        <v>13</v>
      </c>
      <c r="F33" s="14"/>
      <c r="G33" s="57">
        <f>SUM(G32)</f>
        <v>55.219000000000001</v>
      </c>
      <c r="H33" s="27"/>
      <c r="I33" s="17"/>
      <c r="J33" s="17"/>
    </row>
    <row r="34" spans="1:11" ht="35.15" customHeight="1">
      <c r="A34" s="25"/>
      <c r="B34" s="24"/>
      <c r="C34" s="84" t="s">
        <v>14</v>
      </c>
      <c r="D34" s="8"/>
      <c r="E34" s="9" t="s">
        <v>66</v>
      </c>
      <c r="F34" s="9"/>
      <c r="G34" s="9">
        <v>13.234</v>
      </c>
      <c r="H34" s="31" t="s">
        <v>67</v>
      </c>
      <c r="I34" s="17" t="str">
        <f>IF($G34&gt;0,"STATION ON STREAM",IF(AND($G34=0,$H34&gt;0),"STATION ON STANDBY","STATION ON SHUTDOWN"))</f>
        <v>STATION ON STREAM</v>
      </c>
      <c r="J34" s="17"/>
    </row>
    <row r="35" spans="1:11" ht="35.15" customHeight="1">
      <c r="A35" s="25"/>
      <c r="B35" s="24"/>
      <c r="C35" s="85"/>
      <c r="D35" s="12"/>
      <c r="E35" s="9" t="s">
        <v>68</v>
      </c>
      <c r="F35" s="9"/>
      <c r="G35" s="65">
        <v>0</v>
      </c>
      <c r="H35" s="31" t="s">
        <v>65</v>
      </c>
      <c r="I35" s="17" t="str">
        <f>IF($G35&gt;0,"STATION ON STREAM",IF(AND($G35=0,$H35&gt;0),"STATION ON STANDBY","STATION ON SHUTDOWN"))</f>
        <v>STATION ON STANDBY</v>
      </c>
      <c r="J35" s="17"/>
    </row>
    <row r="36" spans="1:11" ht="35.25" customHeight="1">
      <c r="A36" s="25"/>
      <c r="B36" s="24"/>
      <c r="C36" s="85"/>
      <c r="D36" s="12"/>
      <c r="E36" s="13" t="s">
        <v>13</v>
      </c>
      <c r="F36" s="14"/>
      <c r="G36" s="57">
        <f>SUM(G34:G35)</f>
        <v>13.234</v>
      </c>
      <c r="H36" s="27"/>
      <c r="I36" s="17"/>
      <c r="J36" s="17"/>
    </row>
    <row r="37" spans="1:11" ht="35.15" customHeight="1">
      <c r="A37" s="25"/>
      <c r="B37" s="24"/>
      <c r="C37" s="85"/>
      <c r="D37" s="12"/>
      <c r="E37" s="9" t="s">
        <v>69</v>
      </c>
      <c r="F37" s="9"/>
      <c r="G37" s="64">
        <v>0</v>
      </c>
      <c r="H37" s="31" t="s">
        <v>65</v>
      </c>
      <c r="I37" s="17" t="str">
        <f>IF($G37&gt;0,"STATION ON STREAM",IF(AND($G37=0,$H37&gt;0),"STATION ON STANDBY","STATION ON SHUTDOWN"))</f>
        <v>STATION ON STANDBY</v>
      </c>
      <c r="J37" s="17"/>
    </row>
    <row r="38" spans="1:11" ht="35.15" customHeight="1">
      <c r="A38" s="33" t="s">
        <v>70</v>
      </c>
      <c r="B38" s="24"/>
      <c r="C38" s="87"/>
      <c r="D38" s="12"/>
      <c r="E38" s="9" t="s">
        <v>71</v>
      </c>
      <c r="F38" s="9"/>
      <c r="G38" s="51">
        <v>0</v>
      </c>
      <c r="H38" s="31" t="s">
        <v>136</v>
      </c>
      <c r="I38" s="17" t="str">
        <f>IF($G38&gt;0,"STATION ON STREAM",IF(AND($G38=0,$H38&gt;0),"STATION ON STANDBY","STATION ON SHUTDOWN"))</f>
        <v>STATION ON STANDBY</v>
      </c>
      <c r="J38" s="17"/>
    </row>
    <row r="39" spans="1:11" ht="35.15" customHeight="1">
      <c r="A39" s="25"/>
      <c r="B39" s="24"/>
      <c r="C39" s="68"/>
      <c r="D39" s="12"/>
      <c r="E39" s="9" t="s">
        <v>72</v>
      </c>
      <c r="F39" s="9"/>
      <c r="G39" s="64">
        <v>0</v>
      </c>
      <c r="H39" s="31" t="s">
        <v>73</v>
      </c>
      <c r="I39" s="17" t="str">
        <f>IF($G39&gt;0,"STATION ON STREAM",IF(AND($G39=0,$H39&gt;0),"STATION ON STANDBY","STATION ON SHUTDOWN"))</f>
        <v>STATION ON STANDBY</v>
      </c>
      <c r="J39" s="17"/>
    </row>
    <row r="40" spans="1:11" ht="35.15" customHeight="1">
      <c r="A40" s="25"/>
      <c r="B40" s="24"/>
      <c r="C40" s="84" t="s">
        <v>74</v>
      </c>
      <c r="D40" s="8"/>
      <c r="E40" s="9" t="s">
        <v>75</v>
      </c>
      <c r="F40" s="9"/>
      <c r="G40" s="64">
        <v>1.7569999999999999</v>
      </c>
      <c r="H40" s="31" t="s">
        <v>97</v>
      </c>
      <c r="I40" s="17" t="str">
        <f>IF($G40&gt;0,"STATION ON STREAM",IF(AND($G40=0,$H40&gt;0),"STATION ON STANDBY","STATION ON SHUTDOWN"))</f>
        <v>STATION ON STREAM</v>
      </c>
      <c r="J40" s="17"/>
      <c r="K40" s="43"/>
    </row>
    <row r="41" spans="1:11" ht="35.15" customHeight="1">
      <c r="A41" s="25"/>
      <c r="B41" s="24"/>
      <c r="C41" s="88"/>
      <c r="D41" s="8"/>
      <c r="E41" s="13" t="s">
        <v>13</v>
      </c>
      <c r="F41" s="14"/>
      <c r="G41" s="57">
        <f>SUM(G37:G40)</f>
        <v>1.7569999999999999</v>
      </c>
      <c r="H41" s="27"/>
      <c r="I41" s="17"/>
      <c r="J41" s="17"/>
      <c r="K41" s="44"/>
    </row>
    <row r="42" spans="1:11" ht="35.15" customHeight="1">
      <c r="A42" s="32"/>
      <c r="B42" s="24"/>
      <c r="C42" s="69" t="s">
        <v>51</v>
      </c>
      <c r="D42" s="8"/>
      <c r="E42" s="9" t="s">
        <v>77</v>
      </c>
      <c r="F42" s="9"/>
      <c r="G42" s="52">
        <v>2.0699999999999998</v>
      </c>
      <c r="H42" s="35">
        <v>44</v>
      </c>
      <c r="I42" s="17" t="str">
        <f t="shared" ref="I42:I43" si="4">IF($G42&gt;0,"STATION ON STREAM",IF(AND($G42=0,$H42&gt;0),"STATION ON STANDBY","STATION ON SHUTDOWN"))</f>
        <v>STATION ON STREAM</v>
      </c>
      <c r="J42" s="42"/>
    </row>
    <row r="43" spans="1:11" ht="35.15" customHeight="1">
      <c r="A43" s="32"/>
      <c r="B43" s="24"/>
      <c r="C43" s="89"/>
      <c r="D43" s="8"/>
      <c r="E43" s="9" t="s">
        <v>78</v>
      </c>
      <c r="F43" s="9"/>
      <c r="G43" s="53">
        <v>0</v>
      </c>
      <c r="H43" s="35">
        <v>0</v>
      </c>
      <c r="I43" s="17" t="str">
        <f t="shared" si="4"/>
        <v>STATION ON SHUTDOWN</v>
      </c>
      <c r="J43" s="17"/>
    </row>
    <row r="44" spans="1:11" ht="35.15" customHeight="1">
      <c r="A44" s="36"/>
      <c r="B44" s="36"/>
      <c r="C44" s="89"/>
      <c r="D44" s="8"/>
      <c r="E44" s="9" t="s">
        <v>79</v>
      </c>
      <c r="F44" s="9"/>
      <c r="G44" s="53">
        <v>2.2400000000000002</v>
      </c>
      <c r="H44" s="35">
        <v>15</v>
      </c>
      <c r="I44" s="17" t="str">
        <f>IF($G45&gt;0,"STATION ON STREAM",IF(AND($G45=0,$H44&gt;0),"STATION ON STANDBY","STATION ON SHUTDOWN"))</f>
        <v>STATION ON STANDBY</v>
      </c>
      <c r="J44" s="42"/>
    </row>
    <row r="45" spans="1:11" ht="26.25" customHeight="1">
      <c r="A45" s="36"/>
      <c r="B45" s="36"/>
      <c r="C45" s="90"/>
      <c r="D45" s="8"/>
      <c r="E45" s="9" t="s">
        <v>80</v>
      </c>
      <c r="F45" s="9"/>
      <c r="G45" s="51">
        <v>0</v>
      </c>
      <c r="H45" s="35">
        <v>35</v>
      </c>
      <c r="I45" s="17" t="str">
        <f>IF($G45&gt;0,"STATION ON STREAM",IF(AND($G45=0,$H45&gt;0),"STATION ON STANDBY","STATION ON SHUTDOWN"))</f>
        <v>STATION ON STANDBY</v>
      </c>
      <c r="J45" s="42"/>
    </row>
    <row r="46" spans="1:11" ht="21" customHeight="1">
      <c r="A46" s="82"/>
      <c r="B46" s="83"/>
      <c r="C46" s="30"/>
      <c r="D46" s="12"/>
      <c r="E46" s="13" t="s">
        <v>13</v>
      </c>
      <c r="F46" s="14" t="s">
        <v>62</v>
      </c>
      <c r="G46" s="57">
        <f>SUM(G42:G45)</f>
        <v>4.3100000000000005</v>
      </c>
      <c r="H46" s="37"/>
      <c r="I46" s="14" t="s">
        <v>81</v>
      </c>
      <c r="J46" s="42"/>
    </row>
    <row r="47" spans="1:11" ht="25.5" customHeight="1">
      <c r="A47" s="38"/>
      <c r="B47" s="38"/>
      <c r="C47" s="30" t="s">
        <v>61</v>
      </c>
      <c r="D47" s="30"/>
      <c r="E47" s="13" t="s">
        <v>62</v>
      </c>
      <c r="F47" s="13" t="s">
        <v>62</v>
      </c>
      <c r="G47" s="57">
        <f>SUM(G33+G36+G41+G46)</f>
        <v>74.52000000000001</v>
      </c>
      <c r="H47" s="37"/>
      <c r="I47" s="13" t="s">
        <v>62</v>
      </c>
      <c r="J47" s="45"/>
    </row>
    <row r="48" spans="1:11" ht="18.5">
      <c r="A48" s="38"/>
      <c r="B48" s="38"/>
      <c r="C48" s="30" t="s">
        <v>82</v>
      </c>
      <c r="D48" s="30"/>
      <c r="E48" s="13" t="s">
        <v>62</v>
      </c>
      <c r="F48" s="13" t="s">
        <v>62</v>
      </c>
      <c r="G48" s="66">
        <f>SUM(G31+G47)</f>
        <v>618.26099999999997</v>
      </c>
      <c r="H48" s="39"/>
      <c r="I48" s="46"/>
      <c r="J48" s="47">
        <f>J14+J47+J7</f>
        <v>706.29958333333343</v>
      </c>
    </row>
    <row r="49" spans="1:10" ht="18.5">
      <c r="A49" s="38"/>
      <c r="B49" s="38"/>
      <c r="C49" s="34"/>
      <c r="D49" s="34"/>
      <c r="E49" s="34"/>
      <c r="F49" s="40"/>
      <c r="G49" s="40"/>
      <c r="H49" s="41"/>
      <c r="I49" s="40"/>
      <c r="J49" s="48"/>
    </row>
    <row r="50" spans="1:10" ht="18.5">
      <c r="C50" s="34"/>
      <c r="D50" s="34"/>
      <c r="E50" s="34"/>
      <c r="F50" s="34"/>
      <c r="G50" s="40"/>
      <c r="H50" s="41"/>
      <c r="I50" s="34"/>
      <c r="J50" s="34"/>
    </row>
  </sheetData>
  <sheetProtection formatCells="0" formatColumns="0" formatRows="0" insertColumns="0" insertRows="0"/>
  <mergeCells count="15">
    <mergeCell ref="A46:B46"/>
    <mergeCell ref="C24:C28"/>
    <mergeCell ref="C29:C30"/>
    <mergeCell ref="C32:C33"/>
    <mergeCell ref="C34:C38"/>
    <mergeCell ref="C40:C41"/>
    <mergeCell ref="C42:C45"/>
    <mergeCell ref="C15:C18"/>
    <mergeCell ref="A19:B23"/>
    <mergeCell ref="C19:C21"/>
    <mergeCell ref="A1:J2"/>
    <mergeCell ref="A3:J3"/>
    <mergeCell ref="A5:B5"/>
    <mergeCell ref="C6:C7"/>
    <mergeCell ref="C8:C14"/>
  </mergeCells>
  <printOptions horizontalCentered="1"/>
  <pageMargins left="0.196850393700787" right="0.196850393700787" top="0" bottom="0" header="0.118110236220472" footer="0.118110236220472"/>
  <pageSetup paperSize="9" scale="40" fitToHeight="0" orientation="portrait" verticalDpi="300" r:id="rId1"/>
  <headerFooter alignWithMargins="0">
    <oddHeader>&amp;C&amp;KFFA500&amp;10&amp;"Calibri"Confidential: Internal Use Only</oddHeader>
    <oddFooter>&amp;C&amp;KFFA500&amp;10&amp;"Calibri"Confidential: Internal Use Only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EE5BF-0A14-426A-B1F7-B371064A0177}">
  <sheetPr codeName="Sheet11">
    <pageSetUpPr fitToPage="1"/>
  </sheetPr>
  <dimension ref="A1:K50"/>
  <sheetViews>
    <sheetView showGridLines="0" tabSelected="1" view="pageBreakPreview" topLeftCell="D197" zoomScale="73" zoomScaleNormal="55" zoomScaleSheetLayoutView="73" zoomScalePageLayoutView="10" workbookViewId="0">
      <selection activeCell="A53" sqref="A50:XFD53"/>
    </sheetView>
  </sheetViews>
  <sheetFormatPr defaultColWidth="9" defaultRowHeight="14.5"/>
  <cols>
    <col min="1" max="1" width="15.26953125" customWidth="1"/>
    <col min="2" max="2" width="2.90625" customWidth="1"/>
    <col min="3" max="3" width="18.7265625" customWidth="1"/>
    <col min="4" max="4" width="29.7265625" customWidth="1"/>
    <col min="5" max="5" width="44.08984375" customWidth="1"/>
    <col min="6" max="6" width="22.26953125" customWidth="1"/>
    <col min="7" max="7" width="21" customWidth="1"/>
    <col min="8" max="8" width="23" style="1" customWidth="1"/>
    <col min="9" max="9" width="38.6328125" customWidth="1"/>
    <col min="10" max="10" width="20.36328125" customWidth="1"/>
    <col min="14" max="14" width="8.7265625" customWidth="1"/>
    <col min="15" max="15" width="8.08984375" customWidth="1"/>
    <col min="17" max="17" width="9.26953125" customWidth="1"/>
    <col min="21" max="21" width="9.08984375" customWidth="1"/>
  </cols>
  <sheetData>
    <row r="1" spans="1:10" ht="59.25" customHeight="1">
      <c r="A1" s="75" t="s">
        <v>0</v>
      </c>
      <c r="B1" s="75"/>
      <c r="C1" s="75"/>
      <c r="D1" s="75"/>
      <c r="E1" s="75"/>
      <c r="F1" s="75"/>
      <c r="G1" s="75"/>
      <c r="H1" s="75"/>
      <c r="I1" s="75"/>
      <c r="J1" s="75"/>
    </row>
    <row r="2" spans="1:10" ht="18.75" customHeight="1">
      <c r="A2" s="75"/>
      <c r="B2" s="75"/>
      <c r="C2" s="75"/>
      <c r="D2" s="75"/>
      <c r="E2" s="75"/>
      <c r="F2" s="75"/>
      <c r="G2" s="75"/>
      <c r="H2" s="75"/>
      <c r="I2" s="75"/>
      <c r="J2" s="75"/>
    </row>
    <row r="3" spans="1:10" ht="33" customHeight="1">
      <c r="A3" s="76" t="s">
        <v>242</v>
      </c>
      <c r="B3" s="77"/>
      <c r="C3" s="77"/>
      <c r="D3" s="77"/>
      <c r="E3" s="77"/>
      <c r="F3" s="77"/>
      <c r="G3" s="77"/>
      <c r="H3" s="77"/>
      <c r="I3" s="77"/>
      <c r="J3" s="77"/>
    </row>
    <row r="4" spans="1:10" ht="9.75" customHeight="1">
      <c r="A4" s="2"/>
      <c r="B4" s="2"/>
      <c r="C4" s="2"/>
      <c r="D4" s="2"/>
      <c r="E4" s="2"/>
      <c r="F4" s="2"/>
      <c r="G4" s="2"/>
      <c r="H4" s="3"/>
      <c r="I4" s="2" t="s">
        <v>1</v>
      </c>
      <c r="J4" s="2"/>
    </row>
    <row r="5" spans="1:10" ht="43">
      <c r="A5" s="78" t="s">
        <v>2</v>
      </c>
      <c r="B5" s="79"/>
      <c r="C5" s="4" t="s">
        <v>3</v>
      </c>
      <c r="D5" s="4"/>
      <c r="E5" s="4" t="s">
        <v>4</v>
      </c>
      <c r="F5" s="4" t="s">
        <v>5</v>
      </c>
      <c r="G5" s="4" t="s">
        <v>6</v>
      </c>
      <c r="H5" s="5" t="s">
        <v>7</v>
      </c>
      <c r="I5" s="4" t="s">
        <v>8</v>
      </c>
      <c r="J5" s="18" t="s">
        <v>9</v>
      </c>
    </row>
    <row r="6" spans="1:10" ht="40.5" customHeight="1">
      <c r="A6" s="6"/>
      <c r="B6" s="7"/>
      <c r="C6" s="80" t="s">
        <v>10</v>
      </c>
      <c r="D6" s="8"/>
      <c r="E6" s="9" t="s">
        <v>11</v>
      </c>
      <c r="F6" s="54">
        <v>47</v>
      </c>
      <c r="G6" s="54">
        <v>55.796999999999997</v>
      </c>
      <c r="H6" s="55" t="s">
        <v>12</v>
      </c>
      <c r="I6" s="17" t="str">
        <f>IF($G6&gt;0,"STATION ON STREAM",IF(AND($G6=0,$H6&gt;0),"STATION ON STANDBY","STATION ON SHUTDOWN"))</f>
        <v>STATION ON STREAM</v>
      </c>
      <c r="J6" s="56">
        <v>226.21</v>
      </c>
    </row>
    <row r="7" spans="1:10" ht="35.15" customHeight="1">
      <c r="A7" s="6"/>
      <c r="B7" s="7"/>
      <c r="C7" s="81"/>
      <c r="D7" s="12"/>
      <c r="E7" s="13" t="s">
        <v>13</v>
      </c>
      <c r="F7" s="14"/>
      <c r="G7" s="57">
        <f>G6</f>
        <v>55.796999999999997</v>
      </c>
      <c r="H7" s="15"/>
      <c r="I7" s="17"/>
      <c r="J7" s="19">
        <f>J6</f>
        <v>226.21</v>
      </c>
    </row>
    <row r="8" spans="1:10" ht="29.25" customHeight="1">
      <c r="A8" s="6"/>
      <c r="B8" s="7"/>
      <c r="C8" s="81"/>
      <c r="D8" s="12"/>
      <c r="E8" s="9" t="s">
        <v>19</v>
      </c>
      <c r="F8" s="10">
        <v>25</v>
      </c>
      <c r="G8" s="58">
        <v>17.885000000000002</v>
      </c>
      <c r="H8" s="16" t="s">
        <v>176</v>
      </c>
      <c r="I8" s="17" t="str">
        <f>IF($G8&gt;0,"STATION ON STREAM",IF(AND($G8=0,$H9&gt;0),"STATION ON STANDBY","STATION ON SHUTDOWN"))</f>
        <v>STATION ON STREAM</v>
      </c>
      <c r="J8" s="56">
        <v>109.24</v>
      </c>
    </row>
    <row r="9" spans="1:10" ht="35.15" customHeight="1">
      <c r="A9" s="6"/>
      <c r="B9" s="7"/>
      <c r="C9" s="81"/>
      <c r="D9" s="12"/>
      <c r="E9" s="9" t="s">
        <v>20</v>
      </c>
      <c r="F9" s="10">
        <v>13</v>
      </c>
      <c r="G9" s="58">
        <v>4.3090000000000002</v>
      </c>
      <c r="H9" s="16" t="s">
        <v>177</v>
      </c>
      <c r="I9" s="17" t="str">
        <f t="shared" ref="I9:I13" si="0">IF($G9&gt;0,"STATION ON STREAM",IF(AND($G9=0,$H9&gt;0),"STATION ON STANDBY","STATION ON SHUTDOWN"))</f>
        <v>STATION ON STREAM</v>
      </c>
      <c r="J9" s="56">
        <v>77.77</v>
      </c>
    </row>
    <row r="10" spans="1:10" ht="35.15" customHeight="1">
      <c r="A10" s="6"/>
      <c r="B10" s="7"/>
      <c r="C10" s="81"/>
      <c r="D10" s="12"/>
      <c r="E10" s="9" t="s">
        <v>22</v>
      </c>
      <c r="F10" s="21">
        <v>17</v>
      </c>
      <c r="G10" s="58">
        <v>13.445</v>
      </c>
      <c r="H10" s="16" t="s">
        <v>175</v>
      </c>
      <c r="I10" s="17" t="str">
        <f t="shared" si="0"/>
        <v>STATION ON STREAM</v>
      </c>
      <c r="J10" s="56">
        <v>76.63</v>
      </c>
    </row>
    <row r="11" spans="1:10" ht="35.15" customHeight="1">
      <c r="A11" s="6"/>
      <c r="B11" s="7"/>
      <c r="C11" s="81"/>
      <c r="D11" s="12"/>
      <c r="E11" s="9" t="s">
        <v>23</v>
      </c>
      <c r="F11" s="10">
        <v>25</v>
      </c>
      <c r="G11" s="58">
        <v>12.65</v>
      </c>
      <c r="H11" s="16" t="s">
        <v>113</v>
      </c>
      <c r="I11" s="17" t="str">
        <f t="shared" si="0"/>
        <v>STATION ON STREAM</v>
      </c>
      <c r="J11" s="56">
        <v>38.520833333333336</v>
      </c>
    </row>
    <row r="12" spans="1:10" ht="35.15" customHeight="1">
      <c r="A12" s="6"/>
      <c r="B12" s="7"/>
      <c r="C12" s="81"/>
      <c r="D12" s="12"/>
      <c r="E12" s="9" t="s">
        <v>24</v>
      </c>
      <c r="F12" s="10">
        <v>0</v>
      </c>
      <c r="G12" s="58">
        <v>0</v>
      </c>
      <c r="H12" s="16" t="s">
        <v>174</v>
      </c>
      <c r="I12" s="17" t="str">
        <f t="shared" si="0"/>
        <v>STATION ON STANDBY</v>
      </c>
      <c r="J12" s="56">
        <v>0</v>
      </c>
    </row>
    <row r="13" spans="1:10" ht="35.15" customHeight="1">
      <c r="A13" s="6"/>
      <c r="B13" s="7"/>
      <c r="C13" s="81"/>
      <c r="D13" s="12"/>
      <c r="E13" s="9" t="s">
        <v>25</v>
      </c>
      <c r="F13" s="10">
        <v>61.23</v>
      </c>
      <c r="G13" s="58">
        <v>62.777000000000001</v>
      </c>
      <c r="H13" s="11" t="s">
        <v>178</v>
      </c>
      <c r="I13" s="17" t="str">
        <f t="shared" si="0"/>
        <v>STATION ON STREAM</v>
      </c>
      <c r="J13" s="56">
        <v>266.24</v>
      </c>
    </row>
    <row r="14" spans="1:10" ht="35.15" customHeight="1">
      <c r="A14" s="6"/>
      <c r="B14" s="7"/>
      <c r="C14" s="81"/>
      <c r="D14" s="12"/>
      <c r="E14" s="13" t="s">
        <v>13</v>
      </c>
      <c r="F14" s="14"/>
      <c r="G14" s="57">
        <f>SUM(G8:G13)</f>
        <v>111.066</v>
      </c>
      <c r="H14" s="15"/>
      <c r="I14" s="17"/>
      <c r="J14" s="19">
        <f>SUM(J8:J13)</f>
        <v>568.40083333333337</v>
      </c>
    </row>
    <row r="15" spans="1:10" ht="35.15" customHeight="1">
      <c r="A15" s="6"/>
      <c r="B15" s="7"/>
      <c r="C15" s="69"/>
      <c r="D15" s="8"/>
      <c r="E15" s="9" t="s">
        <v>27</v>
      </c>
      <c r="F15" s="21"/>
      <c r="G15" s="21">
        <v>57.2</v>
      </c>
      <c r="H15" s="11" t="s">
        <v>160</v>
      </c>
      <c r="I15" s="17" t="str">
        <f t="shared" ref="I15:I18" si="1">IF($G15&gt;0,"STATION ON STREAM",IF(AND($G15=0,$H15&gt;0),"STATION ON STANDBY","STATION ON SHUTDOWN"))</f>
        <v>STATION ON STREAM</v>
      </c>
      <c r="J15" s="17"/>
    </row>
    <row r="16" spans="1:10" ht="35.15" customHeight="1">
      <c r="A16" s="6"/>
      <c r="B16" s="7"/>
      <c r="C16" s="70"/>
      <c r="D16" s="12"/>
      <c r="E16" s="9" t="s">
        <v>29</v>
      </c>
      <c r="F16" s="21"/>
      <c r="G16" s="58">
        <v>11.198</v>
      </c>
      <c r="H16" s="11" t="s">
        <v>179</v>
      </c>
      <c r="I16" s="17" t="str">
        <f t="shared" si="1"/>
        <v>STATION ON STREAM</v>
      </c>
      <c r="J16" s="17"/>
    </row>
    <row r="17" spans="1:10" ht="35.15" customHeight="1">
      <c r="A17" s="6"/>
      <c r="B17" s="7"/>
      <c r="C17" s="70"/>
      <c r="D17" s="12"/>
      <c r="E17" s="9" t="s">
        <v>31</v>
      </c>
      <c r="F17" s="21"/>
      <c r="G17" s="58">
        <v>5.0000000000000001E-3</v>
      </c>
      <c r="H17" s="11" t="s">
        <v>180</v>
      </c>
      <c r="I17" s="17" t="str">
        <f t="shared" si="1"/>
        <v>STATION ON STREAM</v>
      </c>
      <c r="J17" s="17"/>
    </row>
    <row r="18" spans="1:10" ht="35.15" customHeight="1">
      <c r="A18" s="6"/>
      <c r="B18" s="7"/>
      <c r="C18" s="70"/>
      <c r="D18" s="12"/>
      <c r="E18" s="9" t="s">
        <v>33</v>
      </c>
      <c r="F18" s="21"/>
      <c r="G18" s="58">
        <v>12.823</v>
      </c>
      <c r="H18" s="11" t="s">
        <v>181</v>
      </c>
      <c r="I18" s="17" t="str">
        <f t="shared" si="1"/>
        <v>STATION ON STREAM</v>
      </c>
      <c r="J18" s="17"/>
    </row>
    <row r="19" spans="1:10" ht="34.5" customHeight="1">
      <c r="A19" s="72"/>
      <c r="B19" s="73"/>
      <c r="C19" s="74"/>
      <c r="D19" s="12"/>
      <c r="E19" s="17" t="s">
        <v>47</v>
      </c>
      <c r="F19" s="49"/>
      <c r="G19" s="59">
        <v>0</v>
      </c>
      <c r="H19" s="16" t="s">
        <v>182</v>
      </c>
      <c r="I19" s="17" t="str">
        <f t="shared" ref="I19:I20" si="2">IF($G19&gt;0,"STATION ON STREAM",IF(AND($G19=0,$H19&gt;0),"STATION ON STANDBY","STATION ON SHUTDOWN"))</f>
        <v>STATION ON STANDBY</v>
      </c>
      <c r="J19" s="17"/>
    </row>
    <row r="20" spans="1:10" ht="34.5" customHeight="1">
      <c r="A20" s="72"/>
      <c r="B20" s="73"/>
      <c r="C20" s="74"/>
      <c r="D20" s="12"/>
      <c r="E20" s="17" t="s">
        <v>49</v>
      </c>
      <c r="F20" s="49"/>
      <c r="G20" s="59">
        <v>0</v>
      </c>
      <c r="H20" s="16" t="s">
        <v>182</v>
      </c>
      <c r="I20" s="17" t="str">
        <f t="shared" si="2"/>
        <v>STATION ON STANDBY</v>
      </c>
      <c r="J20" s="17"/>
    </row>
    <row r="21" spans="1:10" ht="35.15" customHeight="1">
      <c r="A21" s="72"/>
      <c r="B21" s="73"/>
      <c r="C21" s="71"/>
      <c r="D21" s="12"/>
      <c r="E21" s="13" t="s">
        <v>13</v>
      </c>
      <c r="F21" s="14"/>
      <c r="G21" s="60">
        <f>SUM(G15:G20)</f>
        <v>81.225999999999999</v>
      </c>
      <c r="H21" s="20"/>
      <c r="I21" s="17"/>
      <c r="J21" s="17"/>
    </row>
    <row r="22" spans="1:10" ht="35.15" customHeight="1">
      <c r="A22" s="72"/>
      <c r="B22" s="73"/>
      <c r="C22" s="68"/>
      <c r="D22" s="12"/>
      <c r="E22" s="9" t="s">
        <v>50</v>
      </c>
      <c r="F22" s="21"/>
      <c r="G22" s="21">
        <v>1.88</v>
      </c>
      <c r="H22" s="21" t="s">
        <v>12</v>
      </c>
      <c r="I22" s="17" t="str">
        <f>IF($G22&gt;0,"STATION ON STREAM",IF(AND($G22=0,$H22&gt;0),"STATION ON STANDBY","STATION ON SHUTDOWN"))</f>
        <v>STATION ON STREAM</v>
      </c>
      <c r="J22" s="17"/>
    </row>
    <row r="23" spans="1:10" ht="35.15" customHeight="1">
      <c r="A23" s="72"/>
      <c r="B23" s="73"/>
      <c r="C23" s="68"/>
      <c r="D23" s="12"/>
      <c r="E23" s="13" t="s">
        <v>13</v>
      </c>
      <c r="F23" s="14"/>
      <c r="G23" s="61">
        <f>SUM(G22)</f>
        <v>1.88</v>
      </c>
      <c r="H23" s="23"/>
      <c r="I23" s="17"/>
      <c r="J23" s="17"/>
    </row>
    <row r="24" spans="1:10" ht="35.15" customHeight="1">
      <c r="A24" s="6"/>
      <c r="B24" s="24"/>
      <c r="C24" s="84" t="s">
        <v>51</v>
      </c>
      <c r="D24" s="12"/>
      <c r="E24" s="9" t="s">
        <v>52</v>
      </c>
      <c r="F24" s="50">
        <v>50</v>
      </c>
      <c r="G24" s="62">
        <v>45.17</v>
      </c>
      <c r="H24" s="22">
        <v>42</v>
      </c>
      <c r="I24" s="17" t="str">
        <f t="shared" ref="I24:I27" si="3">IF($G24&gt;0,"STATION ON STREAM",IF(AND($G24=0,$H24&gt;0),"STATION ON STANDBY","STATION ON SHUTDOWN"))</f>
        <v>STATION ON STREAM</v>
      </c>
      <c r="J24" s="17"/>
    </row>
    <row r="25" spans="1:10" ht="35.15" customHeight="1">
      <c r="A25" s="25"/>
      <c r="B25" s="24"/>
      <c r="C25" s="85"/>
      <c r="D25" s="12"/>
      <c r="E25" s="9" t="s">
        <v>53</v>
      </c>
      <c r="F25" s="50">
        <v>1</v>
      </c>
      <c r="G25" s="62">
        <v>0.86099999999999999</v>
      </c>
      <c r="H25" s="22" t="s">
        <v>54</v>
      </c>
      <c r="I25" s="17" t="str">
        <f t="shared" si="3"/>
        <v>STATION ON STREAM</v>
      </c>
      <c r="J25" s="17"/>
    </row>
    <row r="26" spans="1:10" ht="35.15" customHeight="1">
      <c r="A26" s="25"/>
      <c r="B26" s="24"/>
      <c r="C26" s="85"/>
      <c r="D26" s="8"/>
      <c r="E26" s="9" t="s">
        <v>55</v>
      </c>
      <c r="F26" s="50">
        <v>188</v>
      </c>
      <c r="G26" s="62">
        <v>188.31</v>
      </c>
      <c r="H26" s="22" t="s">
        <v>183</v>
      </c>
      <c r="I26" s="17" t="str">
        <f t="shared" si="3"/>
        <v>STATION ON STREAM</v>
      </c>
      <c r="J26" s="42"/>
    </row>
    <row r="27" spans="1:10" ht="35.15" customHeight="1">
      <c r="A27" s="25"/>
      <c r="B27" s="24"/>
      <c r="C27" s="86"/>
      <c r="D27" s="12"/>
      <c r="E27" s="9" t="s">
        <v>57</v>
      </c>
      <c r="F27" s="50">
        <v>0.3</v>
      </c>
      <c r="G27" s="62">
        <v>0.41299999999999998</v>
      </c>
      <c r="H27" s="22" t="s">
        <v>58</v>
      </c>
      <c r="I27" s="17" t="str">
        <f t="shared" si="3"/>
        <v>STATION ON STREAM</v>
      </c>
      <c r="J27" s="21">
        <v>0</v>
      </c>
    </row>
    <row r="28" spans="1:10" ht="35.15" customHeight="1">
      <c r="A28" s="25"/>
      <c r="B28" s="24"/>
      <c r="C28" s="87"/>
      <c r="D28" s="8"/>
      <c r="E28" s="13" t="s">
        <v>13</v>
      </c>
      <c r="F28" s="26"/>
      <c r="G28" s="57">
        <f>SUM(G24+G25+G26+G27)</f>
        <v>234.75400000000002</v>
      </c>
      <c r="H28" s="15"/>
      <c r="I28" s="17"/>
      <c r="J28" s="21"/>
    </row>
    <row r="29" spans="1:10" ht="35.15" customHeight="1">
      <c r="A29" s="25"/>
      <c r="B29" s="24"/>
      <c r="C29" s="84" t="s">
        <v>59</v>
      </c>
      <c r="D29" s="12"/>
      <c r="E29" s="9" t="s">
        <v>60</v>
      </c>
      <c r="F29" s="21">
        <v>96</v>
      </c>
      <c r="G29" s="58">
        <v>81.311999999999998</v>
      </c>
      <c r="H29" s="11">
        <v>43</v>
      </c>
      <c r="I29" s="17" t="str">
        <f>IF($G29&gt;0,"STATION ON STREAM",IF(AND($G29=0,$H29&gt;0),"STATION ON STANDBY","STATION ON SHUTDOWN"))</f>
        <v>STATION ON STREAM</v>
      </c>
      <c r="J29" s="21">
        <f>G35*4</f>
        <v>0</v>
      </c>
    </row>
    <row r="30" spans="1:10" ht="35.15" customHeight="1">
      <c r="A30" s="28"/>
      <c r="B30" s="29"/>
      <c r="C30" s="87"/>
      <c r="D30" s="12"/>
      <c r="E30" s="13" t="s">
        <v>13</v>
      </c>
      <c r="F30" s="14"/>
      <c r="G30" s="63">
        <f>SUM(G29)</f>
        <v>81.311999999999998</v>
      </c>
      <c r="H30" s="27"/>
      <c r="I30" s="17"/>
      <c r="J30" s="17"/>
    </row>
    <row r="31" spans="1:10" ht="35.15" customHeight="1">
      <c r="A31" s="25"/>
      <c r="B31" s="24"/>
      <c r="C31" s="30" t="s">
        <v>61</v>
      </c>
      <c r="D31" s="30"/>
      <c r="E31" s="13" t="s">
        <v>62</v>
      </c>
      <c r="F31" s="13"/>
      <c r="G31" s="66">
        <f>SUM(G7+G14+G21+G23+G28+G30)</f>
        <v>566.03499999999997</v>
      </c>
      <c r="H31" s="27"/>
      <c r="I31" s="17"/>
      <c r="J31" s="17"/>
    </row>
    <row r="32" spans="1:10" ht="34.5" customHeight="1">
      <c r="A32" s="32"/>
      <c r="B32" s="24"/>
      <c r="C32" s="84" t="s">
        <v>63</v>
      </c>
      <c r="D32" s="12"/>
      <c r="E32" s="9" t="s">
        <v>64</v>
      </c>
      <c r="F32" s="9"/>
      <c r="G32" s="67">
        <v>55.517000000000003</v>
      </c>
      <c r="H32" s="31" t="s">
        <v>65</v>
      </c>
      <c r="I32" s="17" t="str">
        <f>IF($G32&gt;0,"STATION ON STREAM",IF(AND($G32=0,$H32&gt;0),"STATION ON STANDBY","STATION ON SHUTDOWN"))</f>
        <v>STATION ON STREAM</v>
      </c>
      <c r="J32" s="17"/>
    </row>
    <row r="33" spans="1:11" ht="35.15" customHeight="1">
      <c r="A33" s="25"/>
      <c r="B33" s="24"/>
      <c r="C33" s="88"/>
      <c r="D33" s="8"/>
      <c r="E33" s="13" t="s">
        <v>13</v>
      </c>
      <c r="F33" s="14"/>
      <c r="G33" s="57">
        <f>SUM(G32)</f>
        <v>55.517000000000003</v>
      </c>
      <c r="H33" s="27"/>
      <c r="I33" s="17"/>
      <c r="J33" s="17"/>
    </row>
    <row r="34" spans="1:11" ht="35.15" customHeight="1">
      <c r="A34" s="25"/>
      <c r="B34" s="24"/>
      <c r="C34" s="84" t="s">
        <v>14</v>
      </c>
      <c r="D34" s="8"/>
      <c r="E34" s="9" t="s">
        <v>66</v>
      </c>
      <c r="F34" s="9"/>
      <c r="G34" s="9">
        <v>20.565999999999999</v>
      </c>
      <c r="H34" s="31" t="s">
        <v>67</v>
      </c>
      <c r="I34" s="17" t="str">
        <f>IF($G34&gt;0,"STATION ON STREAM",IF(AND($G34=0,$H34&gt;0),"STATION ON STANDBY","STATION ON SHUTDOWN"))</f>
        <v>STATION ON STREAM</v>
      </c>
      <c r="J34" s="17"/>
    </row>
    <row r="35" spans="1:11" ht="35.15" customHeight="1">
      <c r="A35" s="25"/>
      <c r="B35" s="24"/>
      <c r="C35" s="85"/>
      <c r="D35" s="12"/>
      <c r="E35" s="9" t="s">
        <v>68</v>
      </c>
      <c r="F35" s="9"/>
      <c r="G35" s="65">
        <v>0</v>
      </c>
      <c r="H35" s="31" t="s">
        <v>65</v>
      </c>
      <c r="I35" s="17" t="str">
        <f>IF($G35&gt;0,"STATION ON STREAM",IF(AND($G35=0,$H35&gt;0),"STATION ON STANDBY","STATION ON SHUTDOWN"))</f>
        <v>STATION ON STANDBY</v>
      </c>
      <c r="J35" s="17"/>
    </row>
    <row r="36" spans="1:11" ht="35.25" customHeight="1">
      <c r="A36" s="25"/>
      <c r="B36" s="24"/>
      <c r="C36" s="85"/>
      <c r="D36" s="12"/>
      <c r="E36" s="13" t="s">
        <v>13</v>
      </c>
      <c r="F36" s="14"/>
      <c r="G36" s="57">
        <f>SUM(G34:G35)</f>
        <v>20.565999999999999</v>
      </c>
      <c r="H36" s="27"/>
      <c r="I36" s="17"/>
      <c r="J36" s="17"/>
    </row>
    <row r="37" spans="1:11" ht="35.15" customHeight="1">
      <c r="A37" s="25"/>
      <c r="B37" s="24"/>
      <c r="C37" s="85"/>
      <c r="D37" s="12"/>
      <c r="E37" s="9" t="s">
        <v>69</v>
      </c>
      <c r="F37" s="9"/>
      <c r="G37" s="64">
        <v>0</v>
      </c>
      <c r="H37" s="31" t="s">
        <v>65</v>
      </c>
      <c r="I37" s="17" t="str">
        <f>IF($G37&gt;0,"STATION ON STREAM",IF(AND($G37=0,$H37&gt;0),"STATION ON STANDBY","STATION ON SHUTDOWN"))</f>
        <v>STATION ON STANDBY</v>
      </c>
      <c r="J37" s="17"/>
    </row>
    <row r="38" spans="1:11" ht="35.15" customHeight="1">
      <c r="A38" s="33" t="s">
        <v>70</v>
      </c>
      <c r="B38" s="24"/>
      <c r="C38" s="87"/>
      <c r="D38" s="12"/>
      <c r="E38" s="9" t="s">
        <v>71</v>
      </c>
      <c r="F38" s="9"/>
      <c r="G38" s="51">
        <v>0</v>
      </c>
      <c r="H38" s="31" t="s">
        <v>136</v>
      </c>
      <c r="I38" s="17" t="str">
        <f>IF($G38&gt;0,"STATION ON STREAM",IF(AND($G38=0,$H38&gt;0),"STATION ON STANDBY","STATION ON SHUTDOWN"))</f>
        <v>STATION ON STANDBY</v>
      </c>
      <c r="J38" s="17"/>
    </row>
    <row r="39" spans="1:11" ht="35.15" customHeight="1">
      <c r="A39" s="25"/>
      <c r="B39" s="24"/>
      <c r="C39" s="68"/>
      <c r="D39" s="12"/>
      <c r="E39" s="9" t="s">
        <v>72</v>
      </c>
      <c r="F39" s="9"/>
      <c r="G39" s="64">
        <v>0</v>
      </c>
      <c r="H39" s="31" t="s">
        <v>73</v>
      </c>
      <c r="I39" s="17" t="str">
        <f>IF($G39&gt;0,"STATION ON STREAM",IF(AND($G39=0,$H39&gt;0),"STATION ON STANDBY","STATION ON SHUTDOWN"))</f>
        <v>STATION ON STANDBY</v>
      </c>
      <c r="J39" s="17"/>
    </row>
    <row r="40" spans="1:11" ht="35.15" customHeight="1">
      <c r="A40" s="25"/>
      <c r="B40" s="24"/>
      <c r="C40" s="84" t="s">
        <v>74</v>
      </c>
      <c r="D40" s="8"/>
      <c r="E40" s="9" t="s">
        <v>75</v>
      </c>
      <c r="F40" s="9"/>
      <c r="G40" s="64">
        <v>1.798</v>
      </c>
      <c r="H40" s="31" t="s">
        <v>97</v>
      </c>
      <c r="I40" s="17" t="str">
        <f>IF($G40&gt;0,"STATION ON STREAM",IF(AND($G40=0,$H40&gt;0),"STATION ON STANDBY","STATION ON SHUTDOWN"))</f>
        <v>STATION ON STREAM</v>
      </c>
      <c r="J40" s="17"/>
      <c r="K40" s="43"/>
    </row>
    <row r="41" spans="1:11" ht="35.15" customHeight="1">
      <c r="A41" s="25"/>
      <c r="B41" s="24"/>
      <c r="C41" s="88"/>
      <c r="D41" s="8"/>
      <c r="E41" s="13" t="s">
        <v>13</v>
      </c>
      <c r="F41" s="14"/>
      <c r="G41" s="57">
        <f>SUM(G37:G40)</f>
        <v>1.798</v>
      </c>
      <c r="H41" s="27"/>
      <c r="I41" s="17"/>
      <c r="J41" s="17"/>
      <c r="K41" s="44"/>
    </row>
    <row r="42" spans="1:11" ht="35.15" customHeight="1">
      <c r="A42" s="32"/>
      <c r="B42" s="24"/>
      <c r="C42" s="69" t="s">
        <v>51</v>
      </c>
      <c r="D42" s="8"/>
      <c r="E42" s="9" t="s">
        <v>77</v>
      </c>
      <c r="F42" s="9"/>
      <c r="G42" s="52">
        <v>1.958</v>
      </c>
      <c r="H42" s="35">
        <v>38.5</v>
      </c>
      <c r="I42" s="17" t="str">
        <f t="shared" ref="I42:I43" si="4">IF($G42&gt;0,"STATION ON STREAM",IF(AND($G42=0,$H42&gt;0),"STATION ON STANDBY","STATION ON SHUTDOWN"))</f>
        <v>STATION ON STREAM</v>
      </c>
      <c r="J42" s="42"/>
    </row>
    <row r="43" spans="1:11" ht="35.15" customHeight="1">
      <c r="A43" s="32"/>
      <c r="B43" s="24"/>
      <c r="C43" s="89"/>
      <c r="D43" s="8"/>
      <c r="E43" s="9" t="s">
        <v>78</v>
      </c>
      <c r="F43" s="9"/>
      <c r="G43" s="53">
        <v>0</v>
      </c>
      <c r="H43" s="35">
        <v>0</v>
      </c>
      <c r="I43" s="17" t="str">
        <f t="shared" si="4"/>
        <v>STATION ON SHUTDOWN</v>
      </c>
      <c r="J43" s="17"/>
    </row>
    <row r="44" spans="1:11" ht="35.15" customHeight="1">
      <c r="A44" s="36"/>
      <c r="B44" s="36"/>
      <c r="C44" s="89"/>
      <c r="D44" s="8"/>
      <c r="E44" s="9" t="s">
        <v>79</v>
      </c>
      <c r="F44" s="9"/>
      <c r="G44" s="53" t="s">
        <v>156</v>
      </c>
      <c r="H44" s="35">
        <v>15</v>
      </c>
      <c r="I44" s="17" t="str">
        <f>IF($G45&gt;0,"STATION ON STREAM",IF(AND($G45=0,$H44&gt;0),"STATION ON STANDBY","STATION ON SHUTDOWN"))</f>
        <v>STATION ON STANDBY</v>
      </c>
      <c r="J44" s="42"/>
    </row>
    <row r="45" spans="1:11" ht="26.25" customHeight="1">
      <c r="A45" s="36"/>
      <c r="B45" s="36"/>
      <c r="C45" s="90"/>
      <c r="D45" s="8"/>
      <c r="E45" s="9" t="s">
        <v>80</v>
      </c>
      <c r="F45" s="9"/>
      <c r="G45" s="51">
        <v>0</v>
      </c>
      <c r="H45" s="35">
        <v>35</v>
      </c>
      <c r="I45" s="17" t="str">
        <f>IF($G45&gt;0,"STATION ON STREAM",IF(AND($G45=0,$H45&gt;0),"STATION ON STANDBY","STATION ON SHUTDOWN"))</f>
        <v>STATION ON STANDBY</v>
      </c>
      <c r="J45" s="42"/>
    </row>
    <row r="46" spans="1:11" ht="21" customHeight="1">
      <c r="A46" s="82"/>
      <c r="B46" s="83"/>
      <c r="C46" s="30"/>
      <c r="D46" s="12"/>
      <c r="E46" s="13" t="s">
        <v>13</v>
      </c>
      <c r="F46" s="14" t="s">
        <v>62</v>
      </c>
      <c r="G46" s="57">
        <f>SUM(G42:G45)</f>
        <v>1.958</v>
      </c>
      <c r="H46" s="37"/>
      <c r="I46" s="14" t="s">
        <v>81</v>
      </c>
      <c r="J46" s="42"/>
    </row>
    <row r="47" spans="1:11" ht="25.5" customHeight="1">
      <c r="A47" s="38"/>
      <c r="B47" s="38"/>
      <c r="C47" s="30" t="s">
        <v>61</v>
      </c>
      <c r="D47" s="30"/>
      <c r="E47" s="13" t="s">
        <v>62</v>
      </c>
      <c r="F47" s="13" t="s">
        <v>62</v>
      </c>
      <c r="G47" s="57">
        <f>SUM(G33+G36+G41+G46)</f>
        <v>79.838999999999999</v>
      </c>
      <c r="H47" s="37"/>
      <c r="I47" s="13" t="s">
        <v>62</v>
      </c>
      <c r="J47" s="45"/>
    </row>
    <row r="48" spans="1:11" ht="18.5">
      <c r="A48" s="38"/>
      <c r="B48" s="38"/>
      <c r="C48" s="30" t="s">
        <v>82</v>
      </c>
      <c r="D48" s="30"/>
      <c r="E48" s="13" t="s">
        <v>62</v>
      </c>
      <c r="F48" s="13" t="s">
        <v>62</v>
      </c>
      <c r="G48" s="66">
        <f>SUM(G31+G47)</f>
        <v>645.87400000000002</v>
      </c>
      <c r="H48" s="39"/>
      <c r="I48" s="46"/>
      <c r="J48" s="47">
        <f>J14+J47+J7</f>
        <v>794.6108333333334</v>
      </c>
    </row>
    <row r="49" spans="1:10" ht="18.5">
      <c r="A49" s="38"/>
      <c r="B49" s="38"/>
      <c r="C49" s="34"/>
      <c r="D49" s="34"/>
      <c r="E49" s="34"/>
      <c r="F49" s="40"/>
      <c r="G49" s="40"/>
      <c r="H49" s="41"/>
      <c r="I49" s="40"/>
      <c r="J49" s="48"/>
    </row>
    <row r="50" spans="1:10" ht="18.5">
      <c r="C50" s="34"/>
      <c r="D50" s="34"/>
      <c r="E50" s="34"/>
      <c r="F50" s="34"/>
      <c r="G50" s="40"/>
      <c r="H50" s="41"/>
      <c r="I50" s="34"/>
      <c r="J50" s="34"/>
    </row>
  </sheetData>
  <sheetProtection formatCells="0" formatColumns="0" formatRows="0" insertColumns="0" insertRows="0"/>
  <mergeCells count="15">
    <mergeCell ref="A46:B46"/>
    <mergeCell ref="C24:C28"/>
    <mergeCell ref="C29:C30"/>
    <mergeCell ref="C32:C33"/>
    <mergeCell ref="C34:C38"/>
    <mergeCell ref="C40:C41"/>
    <mergeCell ref="C42:C45"/>
    <mergeCell ref="C15:C18"/>
    <mergeCell ref="A19:B23"/>
    <mergeCell ref="C19:C21"/>
    <mergeCell ref="A1:J2"/>
    <mergeCell ref="A3:J3"/>
    <mergeCell ref="A5:B5"/>
    <mergeCell ref="C6:C7"/>
    <mergeCell ref="C8:C14"/>
  </mergeCells>
  <printOptions horizontalCentered="1"/>
  <pageMargins left="0.196850393700787" right="0.196850393700787" top="0" bottom="0" header="0.118110236220472" footer="0.118110236220472"/>
  <pageSetup paperSize="9" scale="40" fitToHeight="0" orientation="portrait" verticalDpi="300" r:id="rId1"/>
  <headerFooter alignWithMargins="0">
    <oddHeader>&amp;C&amp;KFFA500&amp;10&amp;"Calibri"Confidential: Internal Use Only</oddHeader>
    <oddFooter>&amp;C&amp;KFFA500&amp;10&amp;"Calibri"Confidential: Internal Use Only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31256-25B6-4278-92B0-225904CA113A}">
  <sheetPr codeName="Sheet12">
    <pageSetUpPr fitToPage="1"/>
  </sheetPr>
  <dimension ref="A1:K50"/>
  <sheetViews>
    <sheetView showGridLines="0" tabSelected="1" view="pageBreakPreview" topLeftCell="D190" zoomScale="73" zoomScaleNormal="55" zoomScaleSheetLayoutView="73" zoomScalePageLayoutView="10" workbookViewId="0">
      <selection activeCell="A53" sqref="A50:XFD53"/>
    </sheetView>
  </sheetViews>
  <sheetFormatPr defaultColWidth="9" defaultRowHeight="14.5"/>
  <cols>
    <col min="1" max="1" width="15.26953125" customWidth="1"/>
    <col min="2" max="2" width="2.90625" customWidth="1"/>
    <col min="3" max="3" width="18.7265625" customWidth="1"/>
    <col min="4" max="4" width="29.7265625" customWidth="1"/>
    <col min="5" max="5" width="44.08984375" customWidth="1"/>
    <col min="6" max="6" width="22.26953125" customWidth="1"/>
    <col min="7" max="7" width="21" customWidth="1"/>
    <col min="8" max="8" width="23" style="1" customWidth="1"/>
    <col min="9" max="9" width="38.6328125" customWidth="1"/>
    <col min="10" max="10" width="20.36328125" customWidth="1"/>
    <col min="14" max="14" width="8.7265625" customWidth="1"/>
    <col min="15" max="15" width="8.08984375" customWidth="1"/>
    <col min="17" max="17" width="9.26953125" customWidth="1"/>
    <col min="21" max="21" width="9.08984375" customWidth="1"/>
  </cols>
  <sheetData>
    <row r="1" spans="1:10" ht="59.25" customHeight="1">
      <c r="A1" s="75" t="s">
        <v>0</v>
      </c>
      <c r="B1" s="75"/>
      <c r="C1" s="75"/>
      <c r="D1" s="75"/>
      <c r="E1" s="75"/>
      <c r="F1" s="75"/>
      <c r="G1" s="75"/>
      <c r="H1" s="75"/>
      <c r="I1" s="75"/>
      <c r="J1" s="75"/>
    </row>
    <row r="2" spans="1:10" ht="18.75" customHeight="1">
      <c r="A2" s="75"/>
      <c r="B2" s="75"/>
      <c r="C2" s="75"/>
      <c r="D2" s="75"/>
      <c r="E2" s="75"/>
      <c r="F2" s="75"/>
      <c r="G2" s="75"/>
      <c r="H2" s="75"/>
      <c r="I2" s="75"/>
      <c r="J2" s="75"/>
    </row>
    <row r="3" spans="1:10" ht="33" customHeight="1">
      <c r="A3" s="76" t="s">
        <v>242</v>
      </c>
      <c r="B3" s="77"/>
      <c r="C3" s="77"/>
      <c r="D3" s="77"/>
      <c r="E3" s="77"/>
      <c r="F3" s="77"/>
      <c r="G3" s="77"/>
      <c r="H3" s="77"/>
      <c r="I3" s="77"/>
      <c r="J3" s="77"/>
    </row>
    <row r="4" spans="1:10" ht="9.75" customHeight="1">
      <c r="A4" s="2"/>
      <c r="B4" s="2"/>
      <c r="C4" s="2"/>
      <c r="D4" s="2"/>
      <c r="E4" s="2"/>
      <c r="F4" s="2"/>
      <c r="G4" s="2"/>
      <c r="H4" s="3"/>
      <c r="I4" s="2" t="s">
        <v>1</v>
      </c>
      <c r="J4" s="2"/>
    </row>
    <row r="5" spans="1:10" ht="43">
      <c r="A5" s="78" t="s">
        <v>2</v>
      </c>
      <c r="B5" s="79"/>
      <c r="C5" s="4" t="s">
        <v>3</v>
      </c>
      <c r="D5" s="4"/>
      <c r="E5" s="4" t="s">
        <v>4</v>
      </c>
      <c r="F5" s="4" t="s">
        <v>5</v>
      </c>
      <c r="G5" s="4" t="s">
        <v>6</v>
      </c>
      <c r="H5" s="5" t="s">
        <v>7</v>
      </c>
      <c r="I5" s="4" t="s">
        <v>8</v>
      </c>
      <c r="J5" s="18" t="s">
        <v>9</v>
      </c>
    </row>
    <row r="6" spans="1:10" ht="40.5" customHeight="1">
      <c r="A6" s="6"/>
      <c r="B6" s="7"/>
      <c r="C6" s="80" t="s">
        <v>10</v>
      </c>
      <c r="D6" s="8"/>
      <c r="E6" s="9" t="s">
        <v>11</v>
      </c>
      <c r="F6" s="54">
        <v>46.95</v>
      </c>
      <c r="G6" s="54">
        <v>55.813999999999993</v>
      </c>
      <c r="H6" s="55" t="s">
        <v>184</v>
      </c>
      <c r="I6" s="17" t="str">
        <f>IF($G6&gt;0,"STATION ON STREAM",IF(AND($G6=0,$H6&gt;0),"STATION ON STANDBY","STATION ON SHUTDOWN"))</f>
        <v>STATION ON STREAM</v>
      </c>
      <c r="J6" s="56">
        <v>226.17</v>
      </c>
    </row>
    <row r="7" spans="1:10" ht="35.15" customHeight="1">
      <c r="A7" s="6"/>
      <c r="B7" s="7"/>
      <c r="C7" s="81"/>
      <c r="D7" s="12"/>
      <c r="E7" s="13" t="s">
        <v>13</v>
      </c>
      <c r="F7" s="14"/>
      <c r="G7" s="57">
        <f>G6</f>
        <v>55.813999999999993</v>
      </c>
      <c r="H7" s="15"/>
      <c r="I7" s="17"/>
      <c r="J7" s="19">
        <f>J6</f>
        <v>226.17</v>
      </c>
    </row>
    <row r="8" spans="1:10" ht="29.25" customHeight="1">
      <c r="A8" s="6"/>
      <c r="B8" s="7"/>
      <c r="C8" s="81"/>
      <c r="D8" s="12"/>
      <c r="E8" s="9" t="s">
        <v>19</v>
      </c>
      <c r="F8" s="10">
        <v>25</v>
      </c>
      <c r="G8" s="58">
        <v>25.324999999999999</v>
      </c>
      <c r="H8" s="16" t="s">
        <v>176</v>
      </c>
      <c r="I8" s="17" t="str">
        <f>IF($G8&gt;0,"STATION ON STREAM",IF(AND($G8=0,$H9&gt;0),"STATION ON STANDBY","STATION ON SHUTDOWN"))</f>
        <v>STATION ON STREAM</v>
      </c>
      <c r="J8" s="56">
        <v>90.65</v>
      </c>
    </row>
    <row r="9" spans="1:10" ht="35.15" customHeight="1">
      <c r="A9" s="6"/>
      <c r="B9" s="7"/>
      <c r="C9" s="81"/>
      <c r="D9" s="12"/>
      <c r="E9" s="9" t="s">
        <v>20</v>
      </c>
      <c r="F9" s="10">
        <v>13</v>
      </c>
      <c r="G9" s="58">
        <v>6.05</v>
      </c>
      <c r="H9" s="16" t="s">
        <v>90</v>
      </c>
      <c r="I9" s="17" t="str">
        <f t="shared" ref="I9:I13" si="0">IF($G9&gt;0,"STATION ON STREAM",IF(AND($G9=0,$H9&gt;0),"STATION ON STANDBY","STATION ON SHUTDOWN"))</f>
        <v>STATION ON STREAM</v>
      </c>
      <c r="J9" s="56">
        <v>78.69</v>
      </c>
    </row>
    <row r="10" spans="1:10" ht="35.15" customHeight="1">
      <c r="A10" s="6"/>
      <c r="B10" s="7"/>
      <c r="C10" s="81"/>
      <c r="D10" s="12"/>
      <c r="E10" s="9" t="s">
        <v>22</v>
      </c>
      <c r="F10" s="21">
        <v>17</v>
      </c>
      <c r="G10" s="58">
        <v>6.1459999999999999</v>
      </c>
      <c r="H10" s="16" t="s">
        <v>175</v>
      </c>
      <c r="I10" s="17" t="str">
        <f t="shared" si="0"/>
        <v>STATION ON STREAM</v>
      </c>
      <c r="J10" s="56">
        <v>21.9</v>
      </c>
    </row>
    <row r="11" spans="1:10" ht="35.15" customHeight="1">
      <c r="A11" s="6"/>
      <c r="B11" s="7"/>
      <c r="C11" s="81"/>
      <c r="D11" s="12"/>
      <c r="E11" s="9" t="s">
        <v>23</v>
      </c>
      <c r="F11" s="10">
        <v>25</v>
      </c>
      <c r="G11" s="58">
        <v>16.504000000000001</v>
      </c>
      <c r="H11" s="16" t="s">
        <v>113</v>
      </c>
      <c r="I11" s="17" t="str">
        <f t="shared" si="0"/>
        <v>STATION ON STREAM</v>
      </c>
      <c r="J11" s="56">
        <v>54.729166666666664</v>
      </c>
    </row>
    <row r="12" spans="1:10" ht="35.15" customHeight="1">
      <c r="A12" s="6"/>
      <c r="B12" s="7"/>
      <c r="C12" s="81"/>
      <c r="D12" s="12"/>
      <c r="E12" s="9" t="s">
        <v>24</v>
      </c>
      <c r="F12" s="10">
        <v>0</v>
      </c>
      <c r="G12" s="58">
        <v>0</v>
      </c>
      <c r="H12" s="16">
        <v>0</v>
      </c>
      <c r="I12" s="17" t="str">
        <f t="shared" si="0"/>
        <v>STATION ON SHUTDOWN</v>
      </c>
      <c r="J12" s="56">
        <v>0</v>
      </c>
    </row>
    <row r="13" spans="1:10" ht="35.15" customHeight="1">
      <c r="A13" s="6"/>
      <c r="B13" s="7"/>
      <c r="C13" s="81"/>
      <c r="D13" s="12"/>
      <c r="E13" s="9" t="s">
        <v>25</v>
      </c>
      <c r="F13" s="10">
        <v>61.23</v>
      </c>
      <c r="G13" s="58">
        <v>62.564</v>
      </c>
      <c r="H13" s="11" t="s">
        <v>178</v>
      </c>
      <c r="I13" s="17" t="str">
        <f t="shared" si="0"/>
        <v>STATION ON STREAM</v>
      </c>
      <c r="J13" s="56">
        <v>263.69</v>
      </c>
    </row>
    <row r="14" spans="1:10" ht="35.15" customHeight="1">
      <c r="A14" s="6"/>
      <c r="B14" s="7"/>
      <c r="C14" s="81"/>
      <c r="D14" s="12"/>
      <c r="E14" s="13" t="s">
        <v>13</v>
      </c>
      <c r="F14" s="14"/>
      <c r="G14" s="57">
        <f>SUM(G8:G13)</f>
        <v>116.589</v>
      </c>
      <c r="H14" s="15"/>
      <c r="I14" s="17"/>
      <c r="J14" s="19">
        <f>SUM(J8:J13)</f>
        <v>509.65916666666669</v>
      </c>
    </row>
    <row r="15" spans="1:10" ht="35.15" customHeight="1">
      <c r="A15" s="6"/>
      <c r="B15" s="7"/>
      <c r="C15" s="69"/>
      <c r="D15" s="8"/>
      <c r="E15" s="9" t="s">
        <v>27</v>
      </c>
      <c r="F15" s="21"/>
      <c r="G15" s="21">
        <v>57</v>
      </c>
      <c r="H15" s="11" t="s">
        <v>160</v>
      </c>
      <c r="I15" s="17" t="str">
        <f t="shared" ref="I15:I18" si="1">IF($G15&gt;0,"STATION ON STREAM",IF(AND($G15=0,$H15&gt;0),"STATION ON STANDBY","STATION ON SHUTDOWN"))</f>
        <v>STATION ON STREAM</v>
      </c>
      <c r="J15" s="17"/>
    </row>
    <row r="16" spans="1:10" ht="35.15" customHeight="1">
      <c r="A16" s="6"/>
      <c r="B16" s="7"/>
      <c r="C16" s="70"/>
      <c r="D16" s="12"/>
      <c r="E16" s="9" t="s">
        <v>29</v>
      </c>
      <c r="F16" s="21"/>
      <c r="G16" s="58">
        <v>11.757999999999999</v>
      </c>
      <c r="H16" s="11" t="s">
        <v>185</v>
      </c>
      <c r="I16" s="17" t="str">
        <f t="shared" si="1"/>
        <v>STATION ON STREAM</v>
      </c>
      <c r="J16" s="17"/>
    </row>
    <row r="17" spans="1:10" ht="35.15" customHeight="1">
      <c r="A17" s="6"/>
      <c r="B17" s="7"/>
      <c r="C17" s="70"/>
      <c r="D17" s="12"/>
      <c r="E17" s="9" t="s">
        <v>31</v>
      </c>
      <c r="F17" s="21"/>
      <c r="G17" s="58">
        <v>0</v>
      </c>
      <c r="H17" s="11" t="s">
        <v>36</v>
      </c>
      <c r="I17" s="17" t="str">
        <f t="shared" si="1"/>
        <v>STATION ON STANDBY</v>
      </c>
      <c r="J17" s="17"/>
    </row>
    <row r="18" spans="1:10" ht="35.15" customHeight="1">
      <c r="A18" s="6"/>
      <c r="B18" s="7"/>
      <c r="C18" s="70"/>
      <c r="D18" s="12"/>
      <c r="E18" s="9" t="s">
        <v>33</v>
      </c>
      <c r="F18" s="21"/>
      <c r="G18" s="58">
        <v>18.911000000000001</v>
      </c>
      <c r="H18" s="11" t="s">
        <v>181</v>
      </c>
      <c r="I18" s="17" t="str">
        <f t="shared" si="1"/>
        <v>STATION ON STREAM</v>
      </c>
      <c r="J18" s="17"/>
    </row>
    <row r="19" spans="1:10" ht="34.5" customHeight="1">
      <c r="A19" s="72"/>
      <c r="B19" s="73"/>
      <c r="C19" s="74"/>
      <c r="D19" s="12"/>
      <c r="E19" s="17" t="s">
        <v>47</v>
      </c>
      <c r="F19" s="49"/>
      <c r="G19" s="59">
        <v>1.7999999999999999E-2</v>
      </c>
      <c r="H19" s="16" t="s">
        <v>93</v>
      </c>
      <c r="I19" s="17" t="str">
        <f t="shared" ref="I19:I20" si="2">IF($G19&gt;0,"STATION ON STREAM",IF(AND($G19=0,$H19&gt;0),"STATION ON STANDBY","STATION ON SHUTDOWN"))</f>
        <v>STATION ON STREAM</v>
      </c>
      <c r="J19" s="17"/>
    </row>
    <row r="20" spans="1:10" ht="34.5" customHeight="1">
      <c r="A20" s="72"/>
      <c r="B20" s="73"/>
      <c r="C20" s="74"/>
      <c r="D20" s="12"/>
      <c r="E20" s="17" t="s">
        <v>49</v>
      </c>
      <c r="F20" s="49"/>
      <c r="G20" s="59">
        <v>5.0000000000000001E-3</v>
      </c>
      <c r="H20" s="16" t="s">
        <v>124</v>
      </c>
      <c r="I20" s="17" t="str">
        <f t="shared" si="2"/>
        <v>STATION ON STREAM</v>
      </c>
      <c r="J20" s="17"/>
    </row>
    <row r="21" spans="1:10" ht="35.15" customHeight="1">
      <c r="A21" s="72"/>
      <c r="B21" s="73"/>
      <c r="C21" s="71"/>
      <c r="D21" s="12"/>
      <c r="E21" s="13" t="s">
        <v>13</v>
      </c>
      <c r="F21" s="14"/>
      <c r="G21" s="60">
        <f>SUM(G15:G20)</f>
        <v>87.691999999999993</v>
      </c>
      <c r="H21" s="20"/>
      <c r="I21" s="17"/>
      <c r="J21" s="17"/>
    </row>
    <row r="22" spans="1:10" ht="35.15" customHeight="1">
      <c r="A22" s="72"/>
      <c r="B22" s="73"/>
      <c r="C22" s="68"/>
      <c r="D22" s="12"/>
      <c r="E22" s="9" t="s">
        <v>50</v>
      </c>
      <c r="F22" s="21"/>
      <c r="G22" s="21">
        <v>1.86</v>
      </c>
      <c r="H22" s="21" t="s">
        <v>184</v>
      </c>
      <c r="I22" s="17" t="str">
        <f>IF($G22&gt;0,"STATION ON STREAM",IF(AND($G22=0,$H22&gt;0),"STATION ON STANDBY","STATION ON SHUTDOWN"))</f>
        <v>STATION ON STREAM</v>
      </c>
      <c r="J22" s="17"/>
    </row>
    <row r="23" spans="1:10" ht="35.15" customHeight="1">
      <c r="A23" s="72"/>
      <c r="B23" s="73"/>
      <c r="C23" s="68"/>
      <c r="D23" s="12"/>
      <c r="E23" s="13" t="s">
        <v>13</v>
      </c>
      <c r="F23" s="14"/>
      <c r="G23" s="61">
        <f>SUM(G22)</f>
        <v>1.86</v>
      </c>
      <c r="H23" s="23"/>
      <c r="I23" s="17"/>
      <c r="J23" s="17"/>
    </row>
    <row r="24" spans="1:10" ht="35.15" customHeight="1">
      <c r="A24" s="6"/>
      <c r="B24" s="24"/>
      <c r="C24" s="84" t="s">
        <v>51</v>
      </c>
      <c r="D24" s="12"/>
      <c r="E24" s="9" t="s">
        <v>52</v>
      </c>
      <c r="F24" s="50">
        <v>48</v>
      </c>
      <c r="G24" s="62">
        <v>47.496000000000002</v>
      </c>
      <c r="H24" s="22">
        <v>42</v>
      </c>
      <c r="I24" s="17" t="str">
        <f t="shared" ref="I24:I27" si="3">IF($G24&gt;0,"STATION ON STREAM",IF(AND($G24=0,$H24&gt;0),"STATION ON STANDBY","STATION ON SHUTDOWN"))</f>
        <v>STATION ON STREAM</v>
      </c>
      <c r="J24" s="17"/>
    </row>
    <row r="25" spans="1:10" ht="35.15" customHeight="1">
      <c r="A25" s="25"/>
      <c r="B25" s="24"/>
      <c r="C25" s="85"/>
      <c r="D25" s="12"/>
      <c r="E25" s="9" t="s">
        <v>53</v>
      </c>
      <c r="F25" s="50">
        <v>1</v>
      </c>
      <c r="G25" s="62">
        <v>0.90900000000000003</v>
      </c>
      <c r="H25" s="22" t="s">
        <v>54</v>
      </c>
      <c r="I25" s="17" t="str">
        <f t="shared" si="3"/>
        <v>STATION ON STREAM</v>
      </c>
      <c r="J25" s="17"/>
    </row>
    <row r="26" spans="1:10" ht="35.15" customHeight="1">
      <c r="A26" s="25"/>
      <c r="B26" s="24"/>
      <c r="C26" s="85"/>
      <c r="D26" s="8"/>
      <c r="E26" s="9" t="s">
        <v>55</v>
      </c>
      <c r="F26" s="50">
        <v>184</v>
      </c>
      <c r="G26" s="62">
        <v>189.23</v>
      </c>
      <c r="H26" s="22" t="s">
        <v>183</v>
      </c>
      <c r="I26" s="17" t="str">
        <f t="shared" si="3"/>
        <v>STATION ON STREAM</v>
      </c>
      <c r="J26" s="42"/>
    </row>
    <row r="27" spans="1:10" ht="35.15" customHeight="1">
      <c r="A27" s="25"/>
      <c r="B27" s="24"/>
      <c r="C27" s="86"/>
      <c r="D27" s="12"/>
      <c r="E27" s="9" t="s">
        <v>57</v>
      </c>
      <c r="F27" s="50">
        <v>0.3</v>
      </c>
      <c r="G27" s="62">
        <v>0.36899999999999999</v>
      </c>
      <c r="H27" s="22" t="s">
        <v>58</v>
      </c>
      <c r="I27" s="17" t="str">
        <f t="shared" si="3"/>
        <v>STATION ON STREAM</v>
      </c>
      <c r="J27" s="21">
        <v>0</v>
      </c>
    </row>
    <row r="28" spans="1:10" ht="35.15" customHeight="1">
      <c r="A28" s="25"/>
      <c r="B28" s="24"/>
      <c r="C28" s="87"/>
      <c r="D28" s="8"/>
      <c r="E28" s="13" t="s">
        <v>13</v>
      </c>
      <c r="F28" s="26"/>
      <c r="G28" s="57">
        <f>SUM(G24+G25+G26+G27)</f>
        <v>238.00399999999999</v>
      </c>
      <c r="H28" s="15"/>
      <c r="I28" s="17"/>
      <c r="J28" s="21"/>
    </row>
    <row r="29" spans="1:10" ht="35.15" customHeight="1">
      <c r="A29" s="25"/>
      <c r="B29" s="24"/>
      <c r="C29" s="84" t="s">
        <v>59</v>
      </c>
      <c r="D29" s="12"/>
      <c r="E29" s="9" t="s">
        <v>60</v>
      </c>
      <c r="F29" s="21">
        <v>93</v>
      </c>
      <c r="G29" s="58">
        <v>83.093999999999994</v>
      </c>
      <c r="H29" s="11">
        <v>44</v>
      </c>
      <c r="I29" s="17" t="str">
        <f>IF($G29&gt;0,"STATION ON STREAM",IF(AND($G29=0,$H29&gt;0),"STATION ON STANDBY","STATION ON SHUTDOWN"))</f>
        <v>STATION ON STREAM</v>
      </c>
      <c r="J29" s="21">
        <f>G35*4</f>
        <v>0</v>
      </c>
    </row>
    <row r="30" spans="1:10" ht="35.15" customHeight="1">
      <c r="A30" s="28"/>
      <c r="B30" s="29"/>
      <c r="C30" s="87"/>
      <c r="D30" s="12"/>
      <c r="E30" s="13" t="s">
        <v>13</v>
      </c>
      <c r="F30" s="14"/>
      <c r="G30" s="63">
        <f>SUM(G29)</f>
        <v>83.093999999999994</v>
      </c>
      <c r="H30" s="27"/>
      <c r="I30" s="17"/>
      <c r="J30" s="17"/>
    </row>
    <row r="31" spans="1:10" ht="35.15" customHeight="1">
      <c r="A31" s="25"/>
      <c r="B31" s="24"/>
      <c r="C31" s="30" t="s">
        <v>61</v>
      </c>
      <c r="D31" s="30"/>
      <c r="E31" s="13" t="s">
        <v>62</v>
      </c>
      <c r="F31" s="13"/>
      <c r="G31" s="66">
        <f>SUM(G7+G14+G21+G23+G28+G30)</f>
        <v>583.05299999999988</v>
      </c>
      <c r="H31" s="27"/>
      <c r="I31" s="17"/>
      <c r="J31" s="17"/>
    </row>
    <row r="32" spans="1:10" ht="34.5" customHeight="1">
      <c r="A32" s="32"/>
      <c r="B32" s="24"/>
      <c r="C32" s="84" t="s">
        <v>63</v>
      </c>
      <c r="D32" s="12"/>
      <c r="E32" s="9" t="s">
        <v>64</v>
      </c>
      <c r="F32" s="9"/>
      <c r="G32" s="67">
        <v>56.383000000000003</v>
      </c>
      <c r="H32" s="31" t="s">
        <v>65</v>
      </c>
      <c r="I32" s="17" t="str">
        <f>IF($G32&gt;0,"STATION ON STREAM",IF(AND($G32=0,$H32&gt;0),"STATION ON STANDBY","STATION ON SHUTDOWN"))</f>
        <v>STATION ON STREAM</v>
      </c>
      <c r="J32" s="17"/>
    </row>
    <row r="33" spans="1:11" ht="35.15" customHeight="1">
      <c r="A33" s="25"/>
      <c r="B33" s="24"/>
      <c r="C33" s="88"/>
      <c r="D33" s="8"/>
      <c r="E33" s="13" t="s">
        <v>13</v>
      </c>
      <c r="F33" s="14"/>
      <c r="G33" s="57">
        <f>SUM(G32)</f>
        <v>56.383000000000003</v>
      </c>
      <c r="H33" s="27"/>
      <c r="I33" s="17"/>
      <c r="J33" s="17"/>
    </row>
    <row r="34" spans="1:11" ht="35.15" customHeight="1">
      <c r="A34" s="25"/>
      <c r="B34" s="24"/>
      <c r="C34" s="84" t="s">
        <v>14</v>
      </c>
      <c r="D34" s="8"/>
      <c r="E34" s="9" t="s">
        <v>66</v>
      </c>
      <c r="F34" s="9"/>
      <c r="G34" s="9">
        <v>13.510999999999999</v>
      </c>
      <c r="H34" s="31" t="s">
        <v>67</v>
      </c>
      <c r="I34" s="17" t="str">
        <f>IF($G34&gt;0,"STATION ON STREAM",IF(AND($G34=0,$H34&gt;0),"STATION ON STANDBY","STATION ON SHUTDOWN"))</f>
        <v>STATION ON STREAM</v>
      </c>
      <c r="J34" s="17"/>
    </row>
    <row r="35" spans="1:11" ht="35.15" customHeight="1">
      <c r="A35" s="25"/>
      <c r="B35" s="24"/>
      <c r="C35" s="85"/>
      <c r="D35" s="12"/>
      <c r="E35" s="9" t="s">
        <v>68</v>
      </c>
      <c r="F35" s="9"/>
      <c r="G35" s="65">
        <v>0</v>
      </c>
      <c r="H35" s="31" t="s">
        <v>65</v>
      </c>
      <c r="I35" s="17" t="str">
        <f>IF($G35&gt;0,"STATION ON STREAM",IF(AND($G35=0,$H35&gt;0),"STATION ON STANDBY","STATION ON SHUTDOWN"))</f>
        <v>STATION ON STANDBY</v>
      </c>
      <c r="J35" s="17"/>
    </row>
    <row r="36" spans="1:11" ht="35.25" customHeight="1">
      <c r="A36" s="25"/>
      <c r="B36" s="24"/>
      <c r="C36" s="85"/>
      <c r="D36" s="12"/>
      <c r="E36" s="13" t="s">
        <v>13</v>
      </c>
      <c r="F36" s="14"/>
      <c r="G36" s="57">
        <f>SUM(G34:G35)</f>
        <v>13.510999999999999</v>
      </c>
      <c r="H36" s="27"/>
      <c r="I36" s="17"/>
      <c r="J36" s="17"/>
    </row>
    <row r="37" spans="1:11" ht="35.15" customHeight="1">
      <c r="A37" s="25"/>
      <c r="B37" s="24"/>
      <c r="C37" s="85"/>
      <c r="D37" s="12"/>
      <c r="E37" s="9" t="s">
        <v>69</v>
      </c>
      <c r="F37" s="9"/>
      <c r="G37" s="64">
        <v>0</v>
      </c>
      <c r="H37" s="31" t="s">
        <v>65</v>
      </c>
      <c r="I37" s="17" t="str">
        <f>IF($G37&gt;0,"STATION ON STREAM",IF(AND($G37=0,$H37&gt;0),"STATION ON STANDBY","STATION ON SHUTDOWN"))</f>
        <v>STATION ON STANDBY</v>
      </c>
      <c r="J37" s="17"/>
    </row>
    <row r="38" spans="1:11" ht="35.15" customHeight="1">
      <c r="A38" s="33" t="s">
        <v>70</v>
      </c>
      <c r="B38" s="24"/>
      <c r="C38" s="87"/>
      <c r="D38" s="12"/>
      <c r="E38" s="9" t="s">
        <v>71</v>
      </c>
      <c r="F38" s="9"/>
      <c r="G38" s="51">
        <v>0</v>
      </c>
      <c r="H38" s="31" t="s">
        <v>136</v>
      </c>
      <c r="I38" s="17" t="str">
        <f>IF($G38&gt;0,"STATION ON STREAM",IF(AND($G38=0,$H38&gt;0),"STATION ON STANDBY","STATION ON SHUTDOWN"))</f>
        <v>STATION ON STANDBY</v>
      </c>
      <c r="J38" s="17"/>
    </row>
    <row r="39" spans="1:11" ht="35.15" customHeight="1">
      <c r="A39" s="25"/>
      <c r="B39" s="24"/>
      <c r="C39" s="68"/>
      <c r="D39" s="12"/>
      <c r="E39" s="9" t="s">
        <v>72</v>
      </c>
      <c r="F39" s="9"/>
      <c r="G39" s="64">
        <v>0</v>
      </c>
      <c r="H39" s="31" t="s">
        <v>73</v>
      </c>
      <c r="I39" s="17" t="str">
        <f>IF($G39&gt;0,"STATION ON STREAM",IF(AND($G39=0,$H39&gt;0),"STATION ON STANDBY","STATION ON SHUTDOWN"))</f>
        <v>STATION ON STANDBY</v>
      </c>
      <c r="J39" s="17"/>
    </row>
    <row r="40" spans="1:11" ht="35.15" customHeight="1">
      <c r="A40" s="25"/>
      <c r="B40" s="24"/>
      <c r="C40" s="84" t="s">
        <v>74</v>
      </c>
      <c r="D40" s="8"/>
      <c r="E40" s="9" t="s">
        <v>75</v>
      </c>
      <c r="F40" s="9"/>
      <c r="G40" s="64">
        <v>1.8080000000000001</v>
      </c>
      <c r="H40" s="31" t="s">
        <v>97</v>
      </c>
      <c r="I40" s="17" t="str">
        <f>IF($G40&gt;0,"STATION ON STREAM",IF(AND($G40=0,$H40&gt;0),"STATION ON STANDBY","STATION ON SHUTDOWN"))</f>
        <v>STATION ON STREAM</v>
      </c>
      <c r="J40" s="17"/>
      <c r="K40" s="43"/>
    </row>
    <row r="41" spans="1:11" ht="35.15" customHeight="1">
      <c r="A41" s="25"/>
      <c r="B41" s="24"/>
      <c r="C41" s="88"/>
      <c r="D41" s="8"/>
      <c r="E41" s="13" t="s">
        <v>13</v>
      </c>
      <c r="F41" s="14"/>
      <c r="G41" s="57">
        <f>SUM(G37:G40)</f>
        <v>1.8080000000000001</v>
      </c>
      <c r="H41" s="27"/>
      <c r="I41" s="17"/>
      <c r="J41" s="17"/>
      <c r="K41" s="44"/>
    </row>
    <row r="42" spans="1:11" ht="35.15" customHeight="1">
      <c r="A42" s="32"/>
      <c r="B42" s="24"/>
      <c r="C42" s="69" t="s">
        <v>51</v>
      </c>
      <c r="D42" s="8"/>
      <c r="E42" s="9" t="s">
        <v>77</v>
      </c>
      <c r="F42" s="9"/>
      <c r="G42" s="52">
        <v>2.012</v>
      </c>
      <c r="H42" s="35">
        <v>38.5</v>
      </c>
      <c r="I42" s="17" t="str">
        <f t="shared" ref="I42:I43" si="4">IF($G42&gt;0,"STATION ON STREAM",IF(AND($G42=0,$H42&gt;0),"STATION ON STANDBY","STATION ON SHUTDOWN"))</f>
        <v>STATION ON STREAM</v>
      </c>
      <c r="J42" s="42"/>
    </row>
    <row r="43" spans="1:11" ht="35.15" customHeight="1">
      <c r="A43" s="32"/>
      <c r="B43" s="24"/>
      <c r="C43" s="89"/>
      <c r="D43" s="8"/>
      <c r="E43" s="9" t="s">
        <v>78</v>
      </c>
      <c r="F43" s="9"/>
      <c r="G43" s="53">
        <v>0</v>
      </c>
      <c r="H43" s="35">
        <v>0</v>
      </c>
      <c r="I43" s="17" t="str">
        <f t="shared" si="4"/>
        <v>STATION ON SHUTDOWN</v>
      </c>
      <c r="J43" s="17"/>
    </row>
    <row r="44" spans="1:11" ht="35.15" customHeight="1">
      <c r="A44" s="36"/>
      <c r="B44" s="36"/>
      <c r="C44" s="89"/>
      <c r="D44" s="8"/>
      <c r="E44" s="9" t="s">
        <v>79</v>
      </c>
      <c r="F44" s="9"/>
      <c r="G44" s="53">
        <v>2.2400000000000002</v>
      </c>
      <c r="H44" s="35">
        <v>15</v>
      </c>
      <c r="I44" s="17" t="str">
        <f>IF($G45&gt;0,"STATION ON STREAM",IF(AND($G45=0,$H44&gt;0),"STATION ON STANDBY","STATION ON SHUTDOWN"))</f>
        <v>STATION ON STANDBY</v>
      </c>
      <c r="J44" s="42"/>
    </row>
    <row r="45" spans="1:11" ht="26.25" customHeight="1">
      <c r="A45" s="36"/>
      <c r="B45" s="36"/>
      <c r="C45" s="90"/>
      <c r="D45" s="8"/>
      <c r="E45" s="9" t="s">
        <v>80</v>
      </c>
      <c r="F45" s="9"/>
      <c r="G45" s="51">
        <v>0</v>
      </c>
      <c r="H45" s="35">
        <v>35</v>
      </c>
      <c r="I45" s="17" t="str">
        <f>IF($G45&gt;0,"STATION ON STREAM",IF(AND($G45=0,$H45&gt;0),"STATION ON STANDBY","STATION ON SHUTDOWN"))</f>
        <v>STATION ON STANDBY</v>
      </c>
      <c r="J45" s="42"/>
    </row>
    <row r="46" spans="1:11" ht="21" customHeight="1">
      <c r="A46" s="82"/>
      <c r="B46" s="83"/>
      <c r="C46" s="30"/>
      <c r="D46" s="12"/>
      <c r="E46" s="13" t="s">
        <v>13</v>
      </c>
      <c r="F46" s="14" t="s">
        <v>62</v>
      </c>
      <c r="G46" s="57">
        <f>SUM(G42:G45)</f>
        <v>4.2520000000000007</v>
      </c>
      <c r="H46" s="37"/>
      <c r="I46" s="14" t="s">
        <v>81</v>
      </c>
      <c r="J46" s="42"/>
    </row>
    <row r="47" spans="1:11" ht="25.5" customHeight="1">
      <c r="A47" s="38"/>
      <c r="B47" s="38"/>
      <c r="C47" s="30" t="s">
        <v>61</v>
      </c>
      <c r="D47" s="30"/>
      <c r="E47" s="13" t="s">
        <v>62</v>
      </c>
      <c r="F47" s="13" t="s">
        <v>62</v>
      </c>
      <c r="G47" s="57">
        <f>SUM(G33+G36+G41+G46)</f>
        <v>75.954000000000008</v>
      </c>
      <c r="H47" s="37"/>
      <c r="I47" s="13" t="s">
        <v>62</v>
      </c>
      <c r="J47" s="45"/>
    </row>
    <row r="48" spans="1:11" ht="18.5">
      <c r="A48" s="38"/>
      <c r="B48" s="38"/>
      <c r="C48" s="30" t="s">
        <v>82</v>
      </c>
      <c r="D48" s="30"/>
      <c r="E48" s="13" t="s">
        <v>62</v>
      </c>
      <c r="F48" s="13" t="s">
        <v>62</v>
      </c>
      <c r="G48" s="66">
        <f>SUM(G31+G47)</f>
        <v>659.00699999999983</v>
      </c>
      <c r="H48" s="39"/>
      <c r="I48" s="46"/>
      <c r="J48" s="47">
        <f>J14+J47+J7</f>
        <v>735.82916666666665</v>
      </c>
    </row>
    <row r="49" spans="1:10" ht="18.5">
      <c r="A49" s="38"/>
      <c r="B49" s="38"/>
      <c r="C49" s="34"/>
      <c r="D49" s="34"/>
      <c r="E49" s="34"/>
      <c r="F49" s="40"/>
      <c r="G49" s="40"/>
      <c r="H49" s="41"/>
      <c r="I49" s="40"/>
      <c r="J49" s="48"/>
    </row>
    <row r="50" spans="1:10" ht="18.5">
      <c r="C50" s="34"/>
      <c r="D50" s="34"/>
      <c r="E50" s="34"/>
      <c r="F50" s="34"/>
      <c r="G50" s="40"/>
      <c r="H50" s="41"/>
      <c r="I50" s="34"/>
      <c r="J50" s="34"/>
    </row>
  </sheetData>
  <sheetProtection formatCells="0" formatColumns="0" formatRows="0" insertColumns="0" insertRows="0"/>
  <mergeCells count="15">
    <mergeCell ref="A46:B46"/>
    <mergeCell ref="C24:C28"/>
    <mergeCell ref="C29:C30"/>
    <mergeCell ref="C32:C33"/>
    <mergeCell ref="C34:C38"/>
    <mergeCell ref="C40:C41"/>
    <mergeCell ref="C42:C45"/>
    <mergeCell ref="C15:C18"/>
    <mergeCell ref="A19:B23"/>
    <mergeCell ref="C19:C21"/>
    <mergeCell ref="A1:J2"/>
    <mergeCell ref="A3:J3"/>
    <mergeCell ref="A5:B5"/>
    <mergeCell ref="C6:C7"/>
    <mergeCell ref="C8:C14"/>
  </mergeCells>
  <printOptions horizontalCentered="1"/>
  <pageMargins left="0.196850393700787" right="0.196850393700787" top="0" bottom="0" header="0.118110236220472" footer="0.118110236220472"/>
  <pageSetup paperSize="9" scale="40" fitToHeight="0" orientation="portrait" verticalDpi="300" r:id="rId1"/>
  <headerFooter alignWithMargins="0">
    <oddHeader>&amp;C&amp;KFFA500&amp;10&amp;"Calibri"Confidential: Internal Use Only</oddHeader>
    <oddFooter>&amp;C&amp;KFFA500&amp;10&amp;"Calibri"Confidential: Internal Use Only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D2382-34CB-491C-B9D8-5C9F89F7D7E3}">
  <sheetPr codeName="Sheet13">
    <pageSetUpPr fitToPage="1"/>
  </sheetPr>
  <dimension ref="A1:K50"/>
  <sheetViews>
    <sheetView showGridLines="0" tabSelected="1" view="pageBreakPreview" topLeftCell="C189" zoomScale="73" zoomScaleNormal="55" zoomScaleSheetLayoutView="73" zoomScalePageLayoutView="10" workbookViewId="0">
      <selection activeCell="A53" sqref="A50:XFD53"/>
    </sheetView>
  </sheetViews>
  <sheetFormatPr defaultColWidth="9" defaultRowHeight="14.5"/>
  <cols>
    <col min="1" max="1" width="15.26953125" customWidth="1"/>
    <col min="2" max="2" width="2.90625" customWidth="1"/>
    <col min="3" max="3" width="18.7265625" customWidth="1"/>
    <col min="4" max="4" width="29.7265625" customWidth="1"/>
    <col min="5" max="5" width="44.08984375" customWidth="1"/>
    <col min="6" max="6" width="22.26953125" customWidth="1"/>
    <col min="7" max="7" width="21" customWidth="1"/>
    <col min="8" max="8" width="23" style="1" customWidth="1"/>
    <col min="9" max="9" width="38.6328125" customWidth="1"/>
    <col min="10" max="10" width="20.36328125" customWidth="1"/>
    <col min="14" max="14" width="8.7265625" customWidth="1"/>
    <col min="15" max="15" width="8.08984375" customWidth="1"/>
    <col min="17" max="17" width="9.26953125" customWidth="1"/>
    <col min="21" max="21" width="9.08984375" customWidth="1"/>
  </cols>
  <sheetData>
    <row r="1" spans="1:10" ht="59.25" customHeight="1">
      <c r="A1" s="75" t="s">
        <v>0</v>
      </c>
      <c r="B1" s="75"/>
      <c r="C1" s="75"/>
      <c r="D1" s="75"/>
      <c r="E1" s="75"/>
      <c r="F1" s="75"/>
      <c r="G1" s="75"/>
      <c r="H1" s="75"/>
      <c r="I1" s="75"/>
      <c r="J1" s="75"/>
    </row>
    <row r="2" spans="1:10" ht="18.75" customHeight="1">
      <c r="A2" s="75"/>
      <c r="B2" s="75"/>
      <c r="C2" s="75"/>
      <c r="D2" s="75"/>
      <c r="E2" s="75"/>
      <c r="F2" s="75"/>
      <c r="G2" s="75"/>
      <c r="H2" s="75"/>
      <c r="I2" s="75"/>
      <c r="J2" s="75"/>
    </row>
    <row r="3" spans="1:10" ht="33" customHeight="1">
      <c r="A3" s="76" t="s">
        <v>242</v>
      </c>
      <c r="B3" s="77"/>
      <c r="C3" s="77"/>
      <c r="D3" s="77"/>
      <c r="E3" s="77"/>
      <c r="F3" s="77"/>
      <c r="G3" s="77"/>
      <c r="H3" s="77"/>
      <c r="I3" s="77"/>
      <c r="J3" s="77"/>
    </row>
    <row r="4" spans="1:10" ht="9.75" customHeight="1">
      <c r="A4" s="2"/>
      <c r="B4" s="2"/>
      <c r="C4" s="2"/>
      <c r="D4" s="2"/>
      <c r="E4" s="2"/>
      <c r="F4" s="2"/>
      <c r="G4" s="2"/>
      <c r="H4" s="3"/>
      <c r="I4" s="2" t="s">
        <v>1</v>
      </c>
      <c r="J4" s="2"/>
    </row>
    <row r="5" spans="1:10" ht="43">
      <c r="A5" s="78" t="s">
        <v>2</v>
      </c>
      <c r="B5" s="79"/>
      <c r="C5" s="4" t="s">
        <v>3</v>
      </c>
      <c r="D5" s="4"/>
      <c r="E5" s="4" t="s">
        <v>4</v>
      </c>
      <c r="F5" s="4" t="s">
        <v>5</v>
      </c>
      <c r="G5" s="4" t="s">
        <v>6</v>
      </c>
      <c r="H5" s="5" t="s">
        <v>7</v>
      </c>
      <c r="I5" s="4" t="s">
        <v>8</v>
      </c>
      <c r="J5" s="18" t="s">
        <v>9</v>
      </c>
    </row>
    <row r="6" spans="1:10" ht="40.5" customHeight="1">
      <c r="A6" s="6"/>
      <c r="B6" s="7"/>
      <c r="C6" s="80" t="s">
        <v>10</v>
      </c>
      <c r="D6" s="8"/>
      <c r="E6" s="9" t="s">
        <v>11</v>
      </c>
      <c r="F6" s="54">
        <v>46.85</v>
      </c>
      <c r="G6" s="54">
        <v>67.96599999999998</v>
      </c>
      <c r="H6" s="55" t="s">
        <v>12</v>
      </c>
      <c r="I6" s="17" t="str">
        <f>IF($G6&gt;0,"STATION ON STREAM",IF(AND($G6=0,$H6&gt;0),"STATION ON STANDBY","STATION ON SHUTDOWN"))</f>
        <v>STATION ON STREAM</v>
      </c>
      <c r="J6" s="56">
        <v>269.70999999999998</v>
      </c>
    </row>
    <row r="7" spans="1:10" ht="35.15" customHeight="1">
      <c r="A7" s="6"/>
      <c r="B7" s="7"/>
      <c r="C7" s="81"/>
      <c r="D7" s="12"/>
      <c r="E7" s="13" t="s">
        <v>13</v>
      </c>
      <c r="F7" s="14"/>
      <c r="G7" s="57">
        <f>G6</f>
        <v>67.96599999999998</v>
      </c>
      <c r="H7" s="15"/>
      <c r="I7" s="17"/>
      <c r="J7" s="19">
        <f>J6</f>
        <v>269.70999999999998</v>
      </c>
    </row>
    <row r="8" spans="1:10" ht="29.25" customHeight="1">
      <c r="A8" s="6"/>
      <c r="B8" s="7"/>
      <c r="C8" s="81"/>
      <c r="D8" s="12"/>
      <c r="E8" s="9" t="s">
        <v>19</v>
      </c>
      <c r="F8" s="10">
        <v>25</v>
      </c>
      <c r="G8" s="58">
        <v>27.465</v>
      </c>
      <c r="H8" s="16" t="s">
        <v>187</v>
      </c>
      <c r="I8" s="17" t="str">
        <f>IF($G8&gt;0,"STATION ON STREAM",IF(AND($G8=0,$H9&gt;0),"STATION ON STANDBY","STATION ON SHUTDOWN"))</f>
        <v>STATION ON STREAM</v>
      </c>
      <c r="J8" s="56">
        <v>105.23</v>
      </c>
    </row>
    <row r="9" spans="1:10" ht="35.15" customHeight="1">
      <c r="A9" s="6"/>
      <c r="B9" s="7"/>
      <c r="C9" s="81"/>
      <c r="D9" s="12"/>
      <c r="E9" s="9" t="s">
        <v>20</v>
      </c>
      <c r="F9" s="10">
        <v>13</v>
      </c>
      <c r="G9" s="58">
        <v>4.6100000000000003</v>
      </c>
      <c r="H9" s="16" t="s">
        <v>15</v>
      </c>
      <c r="I9" s="17" t="str">
        <f t="shared" ref="I9:I13" si="0">IF($G9&gt;0,"STATION ON STREAM",IF(AND($G9=0,$H9&gt;0),"STATION ON STANDBY","STATION ON SHUTDOWN"))</f>
        <v>STATION ON STREAM</v>
      </c>
      <c r="J9" s="56">
        <v>80.849999999999994</v>
      </c>
    </row>
    <row r="10" spans="1:10" ht="35.15" customHeight="1">
      <c r="A10" s="6"/>
      <c r="B10" s="7"/>
      <c r="C10" s="81"/>
      <c r="D10" s="12"/>
      <c r="E10" s="9" t="s">
        <v>22</v>
      </c>
      <c r="F10" s="21">
        <v>17</v>
      </c>
      <c r="G10" s="58">
        <v>5.3460000000000001</v>
      </c>
      <c r="H10" s="16" t="s">
        <v>186</v>
      </c>
      <c r="I10" s="17" t="str">
        <f t="shared" si="0"/>
        <v>STATION ON STREAM</v>
      </c>
      <c r="J10" s="56">
        <v>19</v>
      </c>
    </row>
    <row r="11" spans="1:10" ht="35.15" customHeight="1">
      <c r="A11" s="6"/>
      <c r="B11" s="7"/>
      <c r="C11" s="81"/>
      <c r="D11" s="12"/>
      <c r="E11" s="9" t="s">
        <v>23</v>
      </c>
      <c r="F11" s="10">
        <v>25</v>
      </c>
      <c r="G11" s="58">
        <v>10.407999999999999</v>
      </c>
      <c r="H11" s="16" t="s">
        <v>113</v>
      </c>
      <c r="I11" s="17" t="str">
        <f t="shared" si="0"/>
        <v>STATION ON STREAM</v>
      </c>
      <c r="J11" s="56">
        <v>32.989583333333336</v>
      </c>
    </row>
    <row r="12" spans="1:10" ht="35.15" customHeight="1">
      <c r="A12" s="6"/>
      <c r="B12" s="7"/>
      <c r="C12" s="81"/>
      <c r="D12" s="12"/>
      <c r="E12" s="9" t="s">
        <v>24</v>
      </c>
      <c r="F12" s="10">
        <v>0</v>
      </c>
      <c r="G12" s="58">
        <v>0</v>
      </c>
      <c r="H12" s="16" t="s">
        <v>188</v>
      </c>
      <c r="I12" s="17" t="str">
        <f t="shared" si="0"/>
        <v>STATION ON STANDBY</v>
      </c>
      <c r="J12" s="56">
        <v>0</v>
      </c>
    </row>
    <row r="13" spans="1:10" ht="35.15" customHeight="1">
      <c r="A13" s="6"/>
      <c r="B13" s="7"/>
      <c r="C13" s="81"/>
      <c r="D13" s="12"/>
      <c r="E13" s="9" t="s">
        <v>25</v>
      </c>
      <c r="F13" s="10">
        <v>65.73</v>
      </c>
      <c r="G13" s="58">
        <v>62.347999999999999</v>
      </c>
      <c r="H13" s="11" t="s">
        <v>189</v>
      </c>
      <c r="I13" s="17" t="str">
        <f t="shared" si="0"/>
        <v>STATION ON STREAM</v>
      </c>
      <c r="J13" s="56">
        <v>266.67</v>
      </c>
    </row>
    <row r="14" spans="1:10" ht="35.15" customHeight="1">
      <c r="A14" s="6"/>
      <c r="B14" s="7"/>
      <c r="C14" s="81"/>
      <c r="D14" s="12"/>
      <c r="E14" s="13" t="s">
        <v>13</v>
      </c>
      <c r="F14" s="14"/>
      <c r="G14" s="57">
        <f>SUM(G8:G13)</f>
        <v>110.17700000000001</v>
      </c>
      <c r="H14" s="15"/>
      <c r="I14" s="17"/>
      <c r="J14" s="19">
        <f>SUM(J8:J13)</f>
        <v>504.73958333333337</v>
      </c>
    </row>
    <row r="15" spans="1:10" ht="35.15" customHeight="1">
      <c r="A15" s="6"/>
      <c r="B15" s="7"/>
      <c r="C15" s="69"/>
      <c r="D15" s="8"/>
      <c r="E15" s="9" t="s">
        <v>27</v>
      </c>
      <c r="F15" s="21"/>
      <c r="G15" s="21">
        <v>52.1</v>
      </c>
      <c r="H15" s="11" t="s">
        <v>104</v>
      </c>
      <c r="I15" s="17" t="str">
        <f t="shared" ref="I15:I18" si="1">IF($G15&gt;0,"STATION ON STREAM",IF(AND($G15=0,$H15&gt;0),"STATION ON STANDBY","STATION ON SHUTDOWN"))</f>
        <v>STATION ON STREAM</v>
      </c>
      <c r="J15" s="17"/>
    </row>
    <row r="16" spans="1:10" ht="35.15" customHeight="1">
      <c r="A16" s="6"/>
      <c r="B16" s="7"/>
      <c r="C16" s="70"/>
      <c r="D16" s="12"/>
      <c r="E16" s="9" t="s">
        <v>29</v>
      </c>
      <c r="F16" s="21"/>
      <c r="G16" s="58">
        <v>11.143000000000001</v>
      </c>
      <c r="H16" s="11" t="s">
        <v>190</v>
      </c>
      <c r="I16" s="17" t="str">
        <f t="shared" si="1"/>
        <v>STATION ON STREAM</v>
      </c>
      <c r="J16" s="17"/>
    </row>
    <row r="17" spans="1:10" ht="35.15" customHeight="1">
      <c r="A17" s="6"/>
      <c r="B17" s="7"/>
      <c r="C17" s="70"/>
      <c r="D17" s="12"/>
      <c r="E17" s="9" t="s">
        <v>31</v>
      </c>
      <c r="F17" s="21"/>
      <c r="G17" s="58">
        <v>0</v>
      </c>
      <c r="H17" s="11" t="s">
        <v>191</v>
      </c>
      <c r="I17" s="17" t="str">
        <f t="shared" si="1"/>
        <v>STATION ON STANDBY</v>
      </c>
      <c r="J17" s="17"/>
    </row>
    <row r="18" spans="1:10" ht="35.15" customHeight="1">
      <c r="A18" s="6"/>
      <c r="B18" s="7"/>
      <c r="C18" s="70"/>
      <c r="D18" s="12"/>
      <c r="E18" s="9" t="s">
        <v>33</v>
      </c>
      <c r="F18" s="21"/>
      <c r="G18" s="58">
        <v>31.43</v>
      </c>
      <c r="H18" s="11" t="s">
        <v>181</v>
      </c>
      <c r="I18" s="17" t="str">
        <f t="shared" si="1"/>
        <v>STATION ON STREAM</v>
      </c>
      <c r="J18" s="17"/>
    </row>
    <row r="19" spans="1:10" ht="34.5" customHeight="1">
      <c r="A19" s="72"/>
      <c r="B19" s="73"/>
      <c r="C19" s="74"/>
      <c r="D19" s="12"/>
      <c r="E19" s="17" t="s">
        <v>47</v>
      </c>
      <c r="F19" s="49"/>
      <c r="G19" s="59">
        <v>0</v>
      </c>
      <c r="H19" s="16" t="s">
        <v>93</v>
      </c>
      <c r="I19" s="17" t="str">
        <f t="shared" ref="I19:I20" si="2">IF($G19&gt;0,"STATION ON STREAM",IF(AND($G19=0,$H19&gt;0),"STATION ON STANDBY","STATION ON SHUTDOWN"))</f>
        <v>STATION ON STANDBY</v>
      </c>
      <c r="J19" s="17"/>
    </row>
    <row r="20" spans="1:10" ht="34.5" customHeight="1">
      <c r="A20" s="72"/>
      <c r="B20" s="73"/>
      <c r="C20" s="74"/>
      <c r="D20" s="12"/>
      <c r="E20" s="17" t="s">
        <v>49</v>
      </c>
      <c r="F20" s="49"/>
      <c r="G20" s="59">
        <v>8.0000000000000002E-3</v>
      </c>
      <c r="H20" s="16" t="s">
        <v>93</v>
      </c>
      <c r="I20" s="17" t="str">
        <f t="shared" si="2"/>
        <v>STATION ON STREAM</v>
      </c>
      <c r="J20" s="17"/>
    </row>
    <row r="21" spans="1:10" ht="35.15" customHeight="1">
      <c r="A21" s="72"/>
      <c r="B21" s="73"/>
      <c r="C21" s="71"/>
      <c r="D21" s="12"/>
      <c r="E21" s="13" t="s">
        <v>13</v>
      </c>
      <c r="F21" s="14"/>
      <c r="G21" s="60">
        <f>SUM(G15:G20)</f>
        <v>94.680999999999997</v>
      </c>
      <c r="H21" s="20"/>
      <c r="I21" s="17"/>
      <c r="J21" s="17"/>
    </row>
    <row r="22" spans="1:10" ht="35.15" customHeight="1">
      <c r="A22" s="72"/>
      <c r="B22" s="73"/>
      <c r="C22" s="68"/>
      <c r="D22" s="12"/>
      <c r="E22" s="9" t="s">
        <v>50</v>
      </c>
      <c r="F22" s="21"/>
      <c r="G22" s="21">
        <v>1.84</v>
      </c>
      <c r="H22" s="21" t="s">
        <v>12</v>
      </c>
      <c r="I22" s="17" t="str">
        <f>IF($G22&gt;0,"STATION ON STREAM",IF(AND($G22=0,$H22&gt;0),"STATION ON STANDBY","STATION ON SHUTDOWN"))</f>
        <v>STATION ON STREAM</v>
      </c>
      <c r="J22" s="17"/>
    </row>
    <row r="23" spans="1:10" ht="35.15" customHeight="1">
      <c r="A23" s="72"/>
      <c r="B23" s="73"/>
      <c r="C23" s="68"/>
      <c r="D23" s="12"/>
      <c r="E23" s="13" t="s">
        <v>13</v>
      </c>
      <c r="F23" s="14"/>
      <c r="G23" s="61">
        <f>SUM(G22)</f>
        <v>1.84</v>
      </c>
      <c r="H23" s="23"/>
      <c r="I23" s="17"/>
      <c r="J23" s="17"/>
    </row>
    <row r="24" spans="1:10" ht="35.15" customHeight="1">
      <c r="A24" s="6"/>
      <c r="B24" s="24"/>
      <c r="C24" s="84" t="s">
        <v>51</v>
      </c>
      <c r="D24" s="12"/>
      <c r="E24" s="9" t="s">
        <v>52</v>
      </c>
      <c r="F24" s="50">
        <v>46</v>
      </c>
      <c r="G24" s="62">
        <v>46.066000000000003</v>
      </c>
      <c r="H24" s="22">
        <v>39</v>
      </c>
      <c r="I24" s="17" t="str">
        <f t="shared" ref="I24:I27" si="3">IF($G24&gt;0,"STATION ON STREAM",IF(AND($G24=0,$H24&gt;0),"STATION ON STANDBY","STATION ON SHUTDOWN"))</f>
        <v>STATION ON STREAM</v>
      </c>
      <c r="J24" s="17"/>
    </row>
    <row r="25" spans="1:10" ht="35.15" customHeight="1">
      <c r="A25" s="25"/>
      <c r="B25" s="24"/>
      <c r="C25" s="85"/>
      <c r="D25" s="12"/>
      <c r="E25" s="9" t="s">
        <v>53</v>
      </c>
      <c r="F25" s="50">
        <v>1</v>
      </c>
      <c r="G25" s="62">
        <v>0.91700000000000004</v>
      </c>
      <c r="H25" s="22" t="s">
        <v>54</v>
      </c>
      <c r="I25" s="17" t="str">
        <f t="shared" si="3"/>
        <v>STATION ON STREAM</v>
      </c>
      <c r="J25" s="17"/>
    </row>
    <row r="26" spans="1:10" ht="35.15" customHeight="1">
      <c r="A26" s="25"/>
      <c r="B26" s="24"/>
      <c r="C26" s="85"/>
      <c r="D26" s="8"/>
      <c r="E26" s="9" t="s">
        <v>55</v>
      </c>
      <c r="F26" s="50">
        <v>184</v>
      </c>
      <c r="G26" s="62">
        <v>188.56</v>
      </c>
      <c r="H26" s="22" t="s">
        <v>192</v>
      </c>
      <c r="I26" s="17" t="str">
        <f t="shared" si="3"/>
        <v>STATION ON STREAM</v>
      </c>
      <c r="J26" s="42"/>
    </row>
    <row r="27" spans="1:10" ht="35.15" customHeight="1">
      <c r="A27" s="25"/>
      <c r="B27" s="24"/>
      <c r="C27" s="86"/>
      <c r="D27" s="12"/>
      <c r="E27" s="9" t="s">
        <v>57</v>
      </c>
      <c r="F27" s="50">
        <v>0.3</v>
      </c>
      <c r="G27" s="62">
        <v>0.224</v>
      </c>
      <c r="H27" s="22" t="s">
        <v>58</v>
      </c>
      <c r="I27" s="17" t="str">
        <f t="shared" si="3"/>
        <v>STATION ON STREAM</v>
      </c>
      <c r="J27" s="21">
        <v>0</v>
      </c>
    </row>
    <row r="28" spans="1:10" ht="35.15" customHeight="1">
      <c r="A28" s="25"/>
      <c r="B28" s="24"/>
      <c r="C28" s="87"/>
      <c r="D28" s="8"/>
      <c r="E28" s="13" t="s">
        <v>13</v>
      </c>
      <c r="F28" s="26"/>
      <c r="G28" s="57">
        <f>SUM(G24+G25+G26+G27)</f>
        <v>235.767</v>
      </c>
      <c r="H28" s="15"/>
      <c r="I28" s="17"/>
      <c r="J28" s="21"/>
    </row>
    <row r="29" spans="1:10" ht="35.15" customHeight="1">
      <c r="A29" s="25"/>
      <c r="B29" s="24"/>
      <c r="C29" s="84" t="s">
        <v>59</v>
      </c>
      <c r="D29" s="12"/>
      <c r="E29" s="9" t="s">
        <v>60</v>
      </c>
      <c r="F29" s="21">
        <v>96</v>
      </c>
      <c r="G29" s="58">
        <v>84.789000000000001</v>
      </c>
      <c r="H29" s="11">
        <v>41</v>
      </c>
      <c r="I29" s="17" t="str">
        <f>IF($G29&gt;0,"STATION ON STREAM",IF(AND($G29=0,$H29&gt;0),"STATION ON STANDBY","STATION ON SHUTDOWN"))</f>
        <v>STATION ON STREAM</v>
      </c>
      <c r="J29" s="21">
        <f>G35*4</f>
        <v>0</v>
      </c>
    </row>
    <row r="30" spans="1:10" ht="35.15" customHeight="1">
      <c r="A30" s="28"/>
      <c r="B30" s="29"/>
      <c r="C30" s="87"/>
      <c r="D30" s="12"/>
      <c r="E30" s="13" t="s">
        <v>13</v>
      </c>
      <c r="F30" s="14"/>
      <c r="G30" s="63">
        <f>SUM(G29)</f>
        <v>84.789000000000001</v>
      </c>
      <c r="H30" s="27"/>
      <c r="I30" s="17"/>
      <c r="J30" s="17"/>
    </row>
    <row r="31" spans="1:10" ht="35.15" customHeight="1">
      <c r="A31" s="25"/>
      <c r="B31" s="24"/>
      <c r="C31" s="30" t="s">
        <v>61</v>
      </c>
      <c r="D31" s="30"/>
      <c r="E31" s="13" t="s">
        <v>62</v>
      </c>
      <c r="F31" s="13"/>
      <c r="G31" s="66">
        <f>SUM(G7+G14+G21+G23+G28+G30)</f>
        <v>595.21999999999991</v>
      </c>
      <c r="H31" s="27"/>
      <c r="I31" s="17"/>
      <c r="J31" s="17"/>
    </row>
    <row r="32" spans="1:10" ht="34.5" customHeight="1">
      <c r="A32" s="32"/>
      <c r="B32" s="24"/>
      <c r="C32" s="84" t="s">
        <v>63</v>
      </c>
      <c r="D32" s="12"/>
      <c r="E32" s="9" t="s">
        <v>64</v>
      </c>
      <c r="F32" s="9"/>
      <c r="G32" s="67">
        <v>57.046999999999997</v>
      </c>
      <c r="H32" s="31" t="s">
        <v>65</v>
      </c>
      <c r="I32" s="17" t="str">
        <f>IF($G32&gt;0,"STATION ON STREAM",IF(AND($G32=0,$H32&gt;0),"STATION ON STANDBY","STATION ON SHUTDOWN"))</f>
        <v>STATION ON STREAM</v>
      </c>
      <c r="J32" s="17"/>
    </row>
    <row r="33" spans="1:11" ht="35.15" customHeight="1">
      <c r="A33" s="25"/>
      <c r="B33" s="24"/>
      <c r="C33" s="88"/>
      <c r="D33" s="8"/>
      <c r="E33" s="13" t="s">
        <v>13</v>
      </c>
      <c r="F33" s="14"/>
      <c r="G33" s="57">
        <f>SUM(G32)</f>
        <v>57.046999999999997</v>
      </c>
      <c r="H33" s="27"/>
      <c r="I33" s="17"/>
      <c r="J33" s="17"/>
    </row>
    <row r="34" spans="1:11" ht="35.15" customHeight="1">
      <c r="A34" s="25"/>
      <c r="B34" s="24"/>
      <c r="C34" s="84" t="s">
        <v>14</v>
      </c>
      <c r="D34" s="8"/>
      <c r="E34" s="9" t="s">
        <v>66</v>
      </c>
      <c r="F34" s="9"/>
      <c r="G34" s="9">
        <v>6.8460000000000001</v>
      </c>
      <c r="H34" s="31" t="s">
        <v>67</v>
      </c>
      <c r="I34" s="17" t="str">
        <f>IF($G34&gt;0,"STATION ON STREAM",IF(AND($G34=0,$H34&gt;0),"STATION ON STANDBY","STATION ON SHUTDOWN"))</f>
        <v>STATION ON STREAM</v>
      </c>
      <c r="J34" s="17"/>
    </row>
    <row r="35" spans="1:11" ht="35.15" customHeight="1">
      <c r="A35" s="25"/>
      <c r="B35" s="24"/>
      <c r="C35" s="85"/>
      <c r="D35" s="12"/>
      <c r="E35" s="9" t="s">
        <v>68</v>
      </c>
      <c r="F35" s="9"/>
      <c r="G35" s="65">
        <v>0</v>
      </c>
      <c r="H35" s="31" t="s">
        <v>65</v>
      </c>
      <c r="I35" s="17" t="str">
        <f>IF($G35&gt;0,"STATION ON STREAM",IF(AND($G35=0,$H35&gt;0),"STATION ON STANDBY","STATION ON SHUTDOWN"))</f>
        <v>STATION ON STANDBY</v>
      </c>
      <c r="J35" s="17"/>
    </row>
    <row r="36" spans="1:11" ht="35.25" customHeight="1">
      <c r="A36" s="25"/>
      <c r="B36" s="24"/>
      <c r="C36" s="85"/>
      <c r="D36" s="12"/>
      <c r="E36" s="13" t="s">
        <v>13</v>
      </c>
      <c r="F36" s="14"/>
      <c r="G36" s="57">
        <f>SUM(G34:G35)</f>
        <v>6.8460000000000001</v>
      </c>
      <c r="H36" s="27"/>
      <c r="I36" s="17"/>
      <c r="J36" s="17"/>
    </row>
    <row r="37" spans="1:11" ht="35.15" customHeight="1">
      <c r="A37" s="25"/>
      <c r="B37" s="24"/>
      <c r="C37" s="85"/>
      <c r="D37" s="12"/>
      <c r="E37" s="9" t="s">
        <v>69</v>
      </c>
      <c r="F37" s="9"/>
      <c r="G37" s="64">
        <v>0</v>
      </c>
      <c r="H37" s="31" t="s">
        <v>65</v>
      </c>
      <c r="I37" s="17" t="str">
        <f>IF($G37&gt;0,"STATION ON STREAM",IF(AND($G37=0,$H37&gt;0),"STATION ON STANDBY","STATION ON SHUTDOWN"))</f>
        <v>STATION ON STANDBY</v>
      </c>
      <c r="J37" s="17"/>
    </row>
    <row r="38" spans="1:11" ht="35.15" customHeight="1">
      <c r="A38" s="33" t="s">
        <v>70</v>
      </c>
      <c r="B38" s="24"/>
      <c r="C38" s="87"/>
      <c r="D38" s="12"/>
      <c r="E38" s="9" t="s">
        <v>71</v>
      </c>
      <c r="F38" s="9"/>
      <c r="G38" s="51">
        <v>0</v>
      </c>
      <c r="H38" s="31" t="s">
        <v>136</v>
      </c>
      <c r="I38" s="17" t="str">
        <f>IF($G38&gt;0,"STATION ON STREAM",IF(AND($G38=0,$H38&gt;0),"STATION ON STANDBY","STATION ON SHUTDOWN"))</f>
        <v>STATION ON STANDBY</v>
      </c>
      <c r="J38" s="17"/>
    </row>
    <row r="39" spans="1:11" ht="35.15" customHeight="1">
      <c r="A39" s="25"/>
      <c r="B39" s="24"/>
      <c r="C39" s="68"/>
      <c r="D39" s="12"/>
      <c r="E39" s="9" t="s">
        <v>72</v>
      </c>
      <c r="F39" s="9"/>
      <c r="G39" s="64">
        <v>0</v>
      </c>
      <c r="H39" s="31" t="s">
        <v>73</v>
      </c>
      <c r="I39" s="17" t="str">
        <f>IF($G39&gt;0,"STATION ON STREAM",IF(AND($G39=0,$H39&gt;0),"STATION ON STANDBY","STATION ON SHUTDOWN"))</f>
        <v>STATION ON STANDBY</v>
      </c>
      <c r="J39" s="17"/>
    </row>
    <row r="40" spans="1:11" ht="35.15" customHeight="1">
      <c r="A40" s="25"/>
      <c r="B40" s="24"/>
      <c r="C40" s="84" t="s">
        <v>74</v>
      </c>
      <c r="D40" s="8"/>
      <c r="E40" s="9" t="s">
        <v>75</v>
      </c>
      <c r="F40" s="9"/>
      <c r="G40" s="64">
        <v>1.7350000000000001</v>
      </c>
      <c r="H40" s="31" t="s">
        <v>97</v>
      </c>
      <c r="I40" s="17" t="str">
        <f>IF($G40&gt;0,"STATION ON STREAM",IF(AND($G40=0,$H40&gt;0),"STATION ON STANDBY","STATION ON SHUTDOWN"))</f>
        <v>STATION ON STREAM</v>
      </c>
      <c r="J40" s="17"/>
      <c r="K40" s="43"/>
    </row>
    <row r="41" spans="1:11" ht="35.15" customHeight="1">
      <c r="A41" s="25"/>
      <c r="B41" s="24"/>
      <c r="C41" s="88"/>
      <c r="D41" s="8"/>
      <c r="E41" s="13" t="s">
        <v>13</v>
      </c>
      <c r="F41" s="14"/>
      <c r="G41" s="57">
        <f>SUM(G37:G40)</f>
        <v>1.7350000000000001</v>
      </c>
      <c r="H41" s="27"/>
      <c r="I41" s="17"/>
      <c r="J41" s="17"/>
      <c r="K41" s="44"/>
    </row>
    <row r="42" spans="1:11" ht="35.15" customHeight="1">
      <c r="A42" s="32"/>
      <c r="B42" s="24"/>
      <c r="C42" s="69" t="s">
        <v>51</v>
      </c>
      <c r="D42" s="8"/>
      <c r="E42" s="9" t="s">
        <v>77</v>
      </c>
      <c r="F42" s="9"/>
      <c r="G42" s="52">
        <v>1.84</v>
      </c>
      <c r="H42" s="35">
        <v>38.5</v>
      </c>
      <c r="I42" s="17" t="str">
        <f t="shared" ref="I42:I43" si="4">IF($G42&gt;0,"STATION ON STREAM",IF(AND($G42=0,$H42&gt;0),"STATION ON STANDBY","STATION ON SHUTDOWN"))</f>
        <v>STATION ON STREAM</v>
      </c>
      <c r="J42" s="42"/>
    </row>
    <row r="43" spans="1:11" ht="35.15" customHeight="1">
      <c r="A43" s="32"/>
      <c r="B43" s="24"/>
      <c r="C43" s="89"/>
      <c r="D43" s="8"/>
      <c r="E43" s="9" t="s">
        <v>78</v>
      </c>
      <c r="F43" s="9"/>
      <c r="G43" s="53">
        <v>0</v>
      </c>
      <c r="H43" s="35">
        <v>0</v>
      </c>
      <c r="I43" s="17" t="str">
        <f t="shared" si="4"/>
        <v>STATION ON SHUTDOWN</v>
      </c>
      <c r="J43" s="17"/>
    </row>
    <row r="44" spans="1:11" ht="35.15" customHeight="1">
      <c r="A44" s="36"/>
      <c r="B44" s="36"/>
      <c r="C44" s="89"/>
      <c r="D44" s="8"/>
      <c r="E44" s="9" t="s">
        <v>79</v>
      </c>
      <c r="F44" s="9"/>
      <c r="G44" s="53">
        <v>2.2400000000000002</v>
      </c>
      <c r="H44" s="35">
        <v>15</v>
      </c>
      <c r="I44" s="17" t="str">
        <f>IF($G45&gt;0,"STATION ON STREAM",IF(AND($G45=0,$H44&gt;0),"STATION ON STANDBY","STATION ON SHUTDOWN"))</f>
        <v>STATION ON STANDBY</v>
      </c>
      <c r="J44" s="42"/>
    </row>
    <row r="45" spans="1:11" ht="26.25" customHeight="1">
      <c r="A45" s="36"/>
      <c r="B45" s="36"/>
      <c r="C45" s="90"/>
      <c r="D45" s="8"/>
      <c r="E45" s="9" t="s">
        <v>80</v>
      </c>
      <c r="F45" s="9"/>
      <c r="G45" s="51">
        <v>0</v>
      </c>
      <c r="H45" s="35">
        <v>35</v>
      </c>
      <c r="I45" s="17" t="str">
        <f>IF($G45&gt;0,"STATION ON STREAM",IF(AND($G45=0,$H45&gt;0),"STATION ON STANDBY","STATION ON SHUTDOWN"))</f>
        <v>STATION ON STANDBY</v>
      </c>
      <c r="J45" s="42"/>
    </row>
    <row r="46" spans="1:11" ht="21" customHeight="1">
      <c r="A46" s="82"/>
      <c r="B46" s="83"/>
      <c r="C46" s="30"/>
      <c r="D46" s="12"/>
      <c r="E46" s="13" t="s">
        <v>13</v>
      </c>
      <c r="F46" s="14" t="s">
        <v>62</v>
      </c>
      <c r="G46" s="57">
        <f>SUM(G42:G45)</f>
        <v>4.08</v>
      </c>
      <c r="H46" s="37"/>
      <c r="I46" s="14" t="s">
        <v>81</v>
      </c>
      <c r="J46" s="42"/>
    </row>
    <row r="47" spans="1:11" ht="25.5" customHeight="1">
      <c r="A47" s="38"/>
      <c r="B47" s="38"/>
      <c r="C47" s="30" t="s">
        <v>61</v>
      </c>
      <c r="D47" s="30"/>
      <c r="E47" s="13" t="s">
        <v>62</v>
      </c>
      <c r="F47" s="13" t="s">
        <v>62</v>
      </c>
      <c r="G47" s="57">
        <f>SUM(G33+G36+G41+G46)</f>
        <v>69.707999999999998</v>
      </c>
      <c r="H47" s="37"/>
      <c r="I47" s="13" t="s">
        <v>62</v>
      </c>
      <c r="J47" s="45"/>
    </row>
    <row r="48" spans="1:11" ht="18.5">
      <c r="A48" s="38"/>
      <c r="B48" s="38"/>
      <c r="C48" s="30" t="s">
        <v>82</v>
      </c>
      <c r="D48" s="30"/>
      <c r="E48" s="13" t="s">
        <v>62</v>
      </c>
      <c r="F48" s="13" t="s">
        <v>62</v>
      </c>
      <c r="G48" s="66">
        <f>SUM(G31+G47)</f>
        <v>664.92799999999988</v>
      </c>
      <c r="H48" s="39"/>
      <c r="I48" s="46"/>
      <c r="J48" s="47">
        <f>J14+J47+J7</f>
        <v>774.44958333333329</v>
      </c>
    </row>
    <row r="49" spans="1:10" ht="18.5">
      <c r="A49" s="38"/>
      <c r="B49" s="38"/>
      <c r="C49" s="34"/>
      <c r="D49" s="34"/>
      <c r="E49" s="34"/>
      <c r="F49" s="40"/>
      <c r="G49" s="40"/>
      <c r="H49" s="41"/>
      <c r="I49" s="40"/>
      <c r="J49" s="48"/>
    </row>
    <row r="50" spans="1:10" ht="18.5">
      <c r="C50" s="34"/>
      <c r="D50" s="34"/>
      <c r="E50" s="34"/>
      <c r="F50" s="34"/>
      <c r="G50" s="40"/>
      <c r="H50" s="41"/>
      <c r="I50" s="34"/>
      <c r="J50" s="34"/>
    </row>
  </sheetData>
  <sheetProtection formatCells="0" formatColumns="0" formatRows="0" insertColumns="0" insertRows="0"/>
  <mergeCells count="15">
    <mergeCell ref="C15:C18"/>
    <mergeCell ref="A19:B23"/>
    <mergeCell ref="C19:C21"/>
    <mergeCell ref="A1:J2"/>
    <mergeCell ref="A3:J3"/>
    <mergeCell ref="A5:B5"/>
    <mergeCell ref="C6:C7"/>
    <mergeCell ref="C8:C14"/>
    <mergeCell ref="A46:B46"/>
    <mergeCell ref="C24:C28"/>
    <mergeCell ref="C29:C30"/>
    <mergeCell ref="C32:C33"/>
    <mergeCell ref="C34:C38"/>
    <mergeCell ref="C40:C41"/>
    <mergeCell ref="C42:C45"/>
  </mergeCells>
  <printOptions horizontalCentered="1"/>
  <pageMargins left="0.196850393700787" right="0.196850393700787" top="0" bottom="0" header="0.118110236220472" footer="0.118110236220472"/>
  <pageSetup paperSize="9" scale="40" fitToHeight="0" orientation="portrait" verticalDpi="300" r:id="rId1"/>
  <headerFooter alignWithMargins="0">
    <oddHeader>&amp;C&amp;KFFA500&amp;10&amp;"Calibri"Confidential: Internal Use Only</oddHeader>
    <oddFooter>&amp;C&amp;KFFA500&amp;10&amp;"Calibri"Confidential: Internal Use Only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2340B-B7B8-4A01-AC4E-0CF776942264}">
  <sheetPr codeName="Sheet14">
    <pageSetUpPr fitToPage="1"/>
  </sheetPr>
  <dimension ref="A1:K50"/>
  <sheetViews>
    <sheetView showGridLines="0" tabSelected="1" view="pageBreakPreview" topLeftCell="C189" zoomScale="73" zoomScaleNormal="55" zoomScaleSheetLayoutView="73" zoomScalePageLayoutView="10" workbookViewId="0">
      <selection activeCell="A53" sqref="A50:XFD53"/>
    </sheetView>
  </sheetViews>
  <sheetFormatPr defaultColWidth="9" defaultRowHeight="14.5"/>
  <cols>
    <col min="1" max="1" width="15.26953125" customWidth="1"/>
    <col min="2" max="2" width="2.90625" customWidth="1"/>
    <col min="3" max="3" width="18.7265625" customWidth="1"/>
    <col min="4" max="4" width="29.7265625" customWidth="1"/>
    <col min="5" max="5" width="44.08984375" customWidth="1"/>
    <col min="6" max="6" width="22.26953125" customWidth="1"/>
    <col min="7" max="7" width="21" customWidth="1"/>
    <col min="8" max="8" width="23" style="1" customWidth="1"/>
    <col min="9" max="9" width="38.6328125" customWidth="1"/>
    <col min="10" max="10" width="20.36328125" customWidth="1"/>
    <col min="14" max="14" width="8.7265625" customWidth="1"/>
    <col min="15" max="15" width="8.08984375" customWidth="1"/>
    <col min="17" max="17" width="9.26953125" customWidth="1"/>
    <col min="21" max="21" width="9.08984375" customWidth="1"/>
  </cols>
  <sheetData>
    <row r="1" spans="1:10" ht="59.25" customHeight="1">
      <c r="A1" s="75" t="s">
        <v>0</v>
      </c>
      <c r="B1" s="75"/>
      <c r="C1" s="75"/>
      <c r="D1" s="75"/>
      <c r="E1" s="75"/>
      <c r="F1" s="75"/>
      <c r="G1" s="75"/>
      <c r="H1" s="75"/>
      <c r="I1" s="75"/>
      <c r="J1" s="75"/>
    </row>
    <row r="2" spans="1:10" ht="18.75" customHeight="1">
      <c r="A2" s="75"/>
      <c r="B2" s="75"/>
      <c r="C2" s="75"/>
      <c r="D2" s="75"/>
      <c r="E2" s="75"/>
      <c r="F2" s="75"/>
      <c r="G2" s="75"/>
      <c r="H2" s="75"/>
      <c r="I2" s="75"/>
      <c r="J2" s="75"/>
    </row>
    <row r="3" spans="1:10" ht="33" customHeight="1">
      <c r="A3" s="76" t="s">
        <v>242</v>
      </c>
      <c r="B3" s="77"/>
      <c r="C3" s="77"/>
      <c r="D3" s="77"/>
      <c r="E3" s="77"/>
      <c r="F3" s="77"/>
      <c r="G3" s="77"/>
      <c r="H3" s="77"/>
      <c r="I3" s="77"/>
      <c r="J3" s="77"/>
    </row>
    <row r="4" spans="1:10" ht="9.75" customHeight="1">
      <c r="A4" s="2"/>
      <c r="B4" s="2"/>
      <c r="C4" s="2"/>
      <c r="D4" s="2"/>
      <c r="E4" s="2"/>
      <c r="F4" s="2"/>
      <c r="G4" s="2"/>
      <c r="H4" s="3"/>
      <c r="I4" s="2" t="s">
        <v>1</v>
      </c>
      <c r="J4" s="2"/>
    </row>
    <row r="5" spans="1:10" ht="43">
      <c r="A5" s="78" t="s">
        <v>2</v>
      </c>
      <c r="B5" s="79"/>
      <c r="C5" s="4" t="s">
        <v>3</v>
      </c>
      <c r="D5" s="4"/>
      <c r="E5" s="4" t="s">
        <v>4</v>
      </c>
      <c r="F5" s="4" t="s">
        <v>5</v>
      </c>
      <c r="G5" s="4" t="s">
        <v>6</v>
      </c>
      <c r="H5" s="5" t="s">
        <v>7</v>
      </c>
      <c r="I5" s="4" t="s">
        <v>8</v>
      </c>
      <c r="J5" s="18" t="s">
        <v>9</v>
      </c>
    </row>
    <row r="6" spans="1:10" ht="40.5" customHeight="1">
      <c r="A6" s="6"/>
      <c r="B6" s="7"/>
      <c r="C6" s="80" t="s">
        <v>10</v>
      </c>
      <c r="D6" s="8"/>
      <c r="E6" s="9" t="s">
        <v>11</v>
      </c>
      <c r="F6" s="54">
        <v>46</v>
      </c>
      <c r="G6" s="54">
        <v>58.033999999999992</v>
      </c>
      <c r="H6" s="55" t="s">
        <v>12</v>
      </c>
      <c r="I6" s="17" t="str">
        <f>IF($G6&gt;0,"STATION ON STREAM",IF(AND($G6=0,$H6&gt;0),"STATION ON STANDBY","STATION ON SHUTDOWN"))</f>
        <v>STATION ON STREAM</v>
      </c>
      <c r="J6" s="56">
        <v>246.83</v>
      </c>
    </row>
    <row r="7" spans="1:10" ht="35.15" customHeight="1">
      <c r="A7" s="6"/>
      <c r="B7" s="7"/>
      <c r="C7" s="81"/>
      <c r="D7" s="12"/>
      <c r="E7" s="13" t="s">
        <v>13</v>
      </c>
      <c r="F7" s="14"/>
      <c r="G7" s="57">
        <f>G6</f>
        <v>58.033999999999992</v>
      </c>
      <c r="H7" s="15"/>
      <c r="I7" s="17"/>
      <c r="J7" s="19">
        <f>J6</f>
        <v>246.83</v>
      </c>
    </row>
    <row r="8" spans="1:10" ht="29.25" customHeight="1">
      <c r="A8" s="6"/>
      <c r="B8" s="7"/>
      <c r="C8" s="81"/>
      <c r="D8" s="12"/>
      <c r="E8" s="9" t="s">
        <v>19</v>
      </c>
      <c r="F8" s="10">
        <v>25</v>
      </c>
      <c r="G8" s="58">
        <v>26.481000000000002</v>
      </c>
      <c r="H8" s="16" t="s">
        <v>193</v>
      </c>
      <c r="I8" s="17" t="str">
        <f>IF($G8&gt;0,"STATION ON STREAM",IF(AND($G8=0,$H9&gt;0),"STATION ON STANDBY","STATION ON SHUTDOWN"))</f>
        <v>STATION ON STREAM</v>
      </c>
      <c r="J8" s="56">
        <v>102</v>
      </c>
    </row>
    <row r="9" spans="1:10" ht="35.15" customHeight="1">
      <c r="A9" s="6"/>
      <c r="B9" s="7"/>
      <c r="C9" s="81"/>
      <c r="D9" s="12"/>
      <c r="E9" s="9" t="s">
        <v>20</v>
      </c>
      <c r="F9" s="10">
        <v>13</v>
      </c>
      <c r="G9" s="58">
        <v>4.6100000000000003</v>
      </c>
      <c r="H9" s="16" t="s">
        <v>194</v>
      </c>
      <c r="I9" s="17" t="str">
        <f t="shared" ref="I9:I13" si="0">IF($G9&gt;0,"STATION ON STREAM",IF(AND($G9=0,$H9&gt;0),"STATION ON STANDBY","STATION ON SHUTDOWN"))</f>
        <v>STATION ON STREAM</v>
      </c>
      <c r="J9" s="56">
        <v>77.55</v>
      </c>
    </row>
    <row r="10" spans="1:10" ht="35.15" customHeight="1">
      <c r="A10" s="6"/>
      <c r="B10" s="7"/>
      <c r="C10" s="81"/>
      <c r="D10" s="12"/>
      <c r="E10" s="9" t="s">
        <v>22</v>
      </c>
      <c r="F10" s="21">
        <v>17</v>
      </c>
      <c r="G10" s="58">
        <v>7.6680000000000001</v>
      </c>
      <c r="H10" s="16" t="s">
        <v>115</v>
      </c>
      <c r="I10" s="17" t="str">
        <f t="shared" si="0"/>
        <v>STATION ON STREAM</v>
      </c>
      <c r="J10" s="56">
        <v>27.31</v>
      </c>
    </row>
    <row r="11" spans="1:10" ht="35.15" customHeight="1">
      <c r="A11" s="6"/>
      <c r="B11" s="7"/>
      <c r="C11" s="81"/>
      <c r="D11" s="12"/>
      <c r="E11" s="9" t="s">
        <v>23</v>
      </c>
      <c r="F11" s="10">
        <v>25</v>
      </c>
      <c r="G11" s="58">
        <v>8.34</v>
      </c>
      <c r="H11" s="16" t="s">
        <v>195</v>
      </c>
      <c r="I11" s="17" t="str">
        <f t="shared" si="0"/>
        <v>STATION ON STREAM</v>
      </c>
      <c r="J11" s="56">
        <v>26.979166666666668</v>
      </c>
    </row>
    <row r="12" spans="1:10" ht="35.15" customHeight="1">
      <c r="A12" s="6"/>
      <c r="B12" s="7"/>
      <c r="C12" s="81"/>
      <c r="D12" s="12"/>
      <c r="E12" s="9" t="s">
        <v>24</v>
      </c>
      <c r="F12" s="10">
        <v>0</v>
      </c>
      <c r="G12" s="58">
        <v>0</v>
      </c>
      <c r="H12" s="16" t="s">
        <v>36</v>
      </c>
      <c r="I12" s="17" t="str">
        <f t="shared" si="0"/>
        <v>STATION ON STANDBY</v>
      </c>
      <c r="J12" s="56">
        <v>0</v>
      </c>
    </row>
    <row r="13" spans="1:10" ht="35.15" customHeight="1">
      <c r="A13" s="6"/>
      <c r="B13" s="7"/>
      <c r="C13" s="81"/>
      <c r="D13" s="12"/>
      <c r="E13" s="9" t="s">
        <v>25</v>
      </c>
      <c r="F13" s="10">
        <v>11.52</v>
      </c>
      <c r="G13" s="58">
        <v>63.835999999999999</v>
      </c>
      <c r="H13" s="11" t="s">
        <v>196</v>
      </c>
      <c r="I13" s="17" t="str">
        <f t="shared" si="0"/>
        <v>STATION ON STREAM</v>
      </c>
      <c r="J13" s="56">
        <v>272.62</v>
      </c>
    </row>
    <row r="14" spans="1:10" ht="35.15" customHeight="1">
      <c r="A14" s="6"/>
      <c r="B14" s="7"/>
      <c r="C14" s="81"/>
      <c r="D14" s="12"/>
      <c r="E14" s="13" t="s">
        <v>13</v>
      </c>
      <c r="F14" s="14"/>
      <c r="G14" s="57">
        <f>SUM(G8:G13)</f>
        <v>110.935</v>
      </c>
      <c r="H14" s="15"/>
      <c r="I14" s="17"/>
      <c r="J14" s="19">
        <f>SUM(J8:J13)</f>
        <v>506.45916666666665</v>
      </c>
    </row>
    <row r="15" spans="1:10" ht="35.15" customHeight="1">
      <c r="A15" s="6"/>
      <c r="B15" s="7"/>
      <c r="C15" s="69"/>
      <c r="D15" s="8"/>
      <c r="E15" s="9" t="s">
        <v>27</v>
      </c>
      <c r="F15" s="21"/>
      <c r="G15" s="21">
        <v>53.7</v>
      </c>
      <c r="H15" s="11" t="s">
        <v>46</v>
      </c>
      <c r="I15" s="17" t="str">
        <f t="shared" ref="I15:I18" si="1">IF($G15&gt;0,"STATION ON STREAM",IF(AND($G15=0,$H15&gt;0),"STATION ON STANDBY","STATION ON SHUTDOWN"))</f>
        <v>STATION ON STREAM</v>
      </c>
      <c r="J15" s="17"/>
    </row>
    <row r="16" spans="1:10" ht="35.15" customHeight="1">
      <c r="A16" s="6"/>
      <c r="B16" s="7"/>
      <c r="C16" s="70"/>
      <c r="D16" s="12"/>
      <c r="E16" s="9" t="s">
        <v>29</v>
      </c>
      <c r="F16" s="21"/>
      <c r="G16" s="58">
        <v>9.327</v>
      </c>
      <c r="H16" s="11" t="s">
        <v>197</v>
      </c>
      <c r="I16" s="17" t="str">
        <f t="shared" si="1"/>
        <v>STATION ON STREAM</v>
      </c>
      <c r="J16" s="17"/>
    </row>
    <row r="17" spans="1:10" ht="35.15" customHeight="1">
      <c r="A17" s="6"/>
      <c r="B17" s="7"/>
      <c r="C17" s="70"/>
      <c r="D17" s="12"/>
      <c r="E17" s="9" t="s">
        <v>31</v>
      </c>
      <c r="F17" s="21"/>
      <c r="G17" s="58">
        <v>0</v>
      </c>
      <c r="H17" s="11" t="s">
        <v>36</v>
      </c>
      <c r="I17" s="17" t="str">
        <f t="shared" si="1"/>
        <v>STATION ON STANDBY</v>
      </c>
      <c r="J17" s="17"/>
    </row>
    <row r="18" spans="1:10" ht="35.15" customHeight="1">
      <c r="A18" s="6"/>
      <c r="B18" s="7"/>
      <c r="C18" s="70"/>
      <c r="D18" s="12"/>
      <c r="E18" s="9" t="s">
        <v>33</v>
      </c>
      <c r="F18" s="21"/>
      <c r="G18" s="58">
        <v>30.925000000000001</v>
      </c>
      <c r="H18" s="11" t="s">
        <v>198</v>
      </c>
      <c r="I18" s="17" t="str">
        <f t="shared" si="1"/>
        <v>STATION ON STREAM</v>
      </c>
      <c r="J18" s="17"/>
    </row>
    <row r="19" spans="1:10" ht="34.5" customHeight="1">
      <c r="A19" s="72"/>
      <c r="B19" s="73"/>
      <c r="C19" s="74"/>
      <c r="D19" s="12"/>
      <c r="E19" s="17" t="s">
        <v>47</v>
      </c>
      <c r="F19" s="49"/>
      <c r="G19" s="59">
        <v>1.4999999999999999E-2</v>
      </c>
      <c r="H19" s="16" t="s">
        <v>109</v>
      </c>
      <c r="I19" s="17" t="str">
        <f t="shared" ref="I19:I20" si="2">IF($G19&gt;0,"STATION ON STREAM",IF(AND($G19=0,$H19&gt;0),"STATION ON STANDBY","STATION ON SHUTDOWN"))</f>
        <v>STATION ON STREAM</v>
      </c>
      <c r="J19" s="17"/>
    </row>
    <row r="20" spans="1:10" ht="34.5" customHeight="1">
      <c r="A20" s="72"/>
      <c r="B20" s="73"/>
      <c r="C20" s="74"/>
      <c r="D20" s="12"/>
      <c r="E20" s="17" t="s">
        <v>49</v>
      </c>
      <c r="F20" s="49"/>
      <c r="G20" s="59">
        <v>1.2E-2</v>
      </c>
      <c r="H20" s="16" t="s">
        <v>109</v>
      </c>
      <c r="I20" s="17" t="str">
        <f t="shared" si="2"/>
        <v>STATION ON STREAM</v>
      </c>
      <c r="J20" s="17"/>
    </row>
    <row r="21" spans="1:10" ht="35.15" customHeight="1">
      <c r="A21" s="72"/>
      <c r="B21" s="73"/>
      <c r="C21" s="71"/>
      <c r="D21" s="12"/>
      <c r="E21" s="13" t="s">
        <v>13</v>
      </c>
      <c r="F21" s="14"/>
      <c r="G21" s="60">
        <f>SUM(G15:G20)</f>
        <v>93.978999999999999</v>
      </c>
      <c r="H21" s="20"/>
      <c r="I21" s="17"/>
      <c r="J21" s="17"/>
    </row>
    <row r="22" spans="1:10" ht="35.15" customHeight="1">
      <c r="A22" s="72"/>
      <c r="B22" s="73"/>
      <c r="C22" s="68"/>
      <c r="D22" s="12"/>
      <c r="E22" s="9" t="s">
        <v>50</v>
      </c>
      <c r="F22" s="21"/>
      <c r="G22" s="21">
        <v>1.83</v>
      </c>
      <c r="H22" s="21" t="s">
        <v>12</v>
      </c>
      <c r="I22" s="17" t="str">
        <f>IF($G22&gt;0,"STATION ON STREAM",IF(AND($G22=0,$H22&gt;0),"STATION ON STANDBY","STATION ON SHUTDOWN"))</f>
        <v>STATION ON STREAM</v>
      </c>
      <c r="J22" s="17"/>
    </row>
    <row r="23" spans="1:10" ht="35.15" customHeight="1">
      <c r="A23" s="72"/>
      <c r="B23" s="73"/>
      <c r="C23" s="68"/>
      <c r="D23" s="12"/>
      <c r="E23" s="13" t="s">
        <v>13</v>
      </c>
      <c r="F23" s="14"/>
      <c r="G23" s="61">
        <f>SUM(G22)</f>
        <v>1.83</v>
      </c>
      <c r="H23" s="23"/>
      <c r="I23" s="17"/>
      <c r="J23" s="17"/>
    </row>
    <row r="24" spans="1:10" ht="35.15" customHeight="1">
      <c r="A24" s="6"/>
      <c r="B24" s="24"/>
      <c r="C24" s="84" t="s">
        <v>51</v>
      </c>
      <c r="D24" s="12"/>
      <c r="E24" s="9" t="s">
        <v>52</v>
      </c>
      <c r="F24" s="50">
        <v>46</v>
      </c>
      <c r="G24" s="62">
        <v>48.923000000000002</v>
      </c>
      <c r="H24" s="22">
        <v>37</v>
      </c>
      <c r="I24" s="17" t="str">
        <f t="shared" ref="I24:I27" si="3">IF($G24&gt;0,"STATION ON STREAM",IF(AND($G24=0,$H24&gt;0),"STATION ON STANDBY","STATION ON SHUTDOWN"))</f>
        <v>STATION ON STREAM</v>
      </c>
      <c r="J24" s="17"/>
    </row>
    <row r="25" spans="1:10" ht="35.15" customHeight="1">
      <c r="A25" s="25"/>
      <c r="B25" s="24"/>
      <c r="C25" s="85"/>
      <c r="D25" s="12"/>
      <c r="E25" s="9" t="s">
        <v>53</v>
      </c>
      <c r="F25" s="50">
        <v>1</v>
      </c>
      <c r="G25" s="62">
        <v>0.92200000000000004</v>
      </c>
      <c r="H25" s="22" t="s">
        <v>54</v>
      </c>
      <c r="I25" s="17" t="str">
        <f t="shared" si="3"/>
        <v>STATION ON STREAM</v>
      </c>
      <c r="J25" s="17"/>
    </row>
    <row r="26" spans="1:10" ht="35.15" customHeight="1">
      <c r="A26" s="25"/>
      <c r="B26" s="24"/>
      <c r="C26" s="85"/>
      <c r="D26" s="8"/>
      <c r="E26" s="9" t="s">
        <v>55</v>
      </c>
      <c r="F26" s="50">
        <v>188</v>
      </c>
      <c r="G26" s="62">
        <v>188.26</v>
      </c>
      <c r="H26" s="22" t="s">
        <v>200</v>
      </c>
      <c r="I26" s="17" t="str">
        <f t="shared" si="3"/>
        <v>STATION ON STREAM</v>
      </c>
      <c r="J26" s="42"/>
    </row>
    <row r="27" spans="1:10" ht="35.15" customHeight="1">
      <c r="A27" s="25"/>
      <c r="B27" s="24"/>
      <c r="C27" s="86"/>
      <c r="D27" s="12"/>
      <c r="E27" s="9" t="s">
        <v>57</v>
      </c>
      <c r="F27" s="50">
        <v>0.3</v>
      </c>
      <c r="G27" s="62">
        <v>0.21199999999999999</v>
      </c>
      <c r="H27" s="22" t="s">
        <v>58</v>
      </c>
      <c r="I27" s="17" t="str">
        <f t="shared" si="3"/>
        <v>STATION ON STREAM</v>
      </c>
      <c r="J27" s="21">
        <v>0</v>
      </c>
    </row>
    <row r="28" spans="1:10" ht="35.15" customHeight="1">
      <c r="A28" s="25"/>
      <c r="B28" s="24"/>
      <c r="C28" s="87"/>
      <c r="D28" s="8"/>
      <c r="E28" s="13" t="s">
        <v>13</v>
      </c>
      <c r="F28" s="26"/>
      <c r="G28" s="57">
        <f>SUM(G24+G25+G26+G27)</f>
        <v>238.31699999999998</v>
      </c>
      <c r="H28" s="15"/>
      <c r="I28" s="17"/>
      <c r="J28" s="21"/>
    </row>
    <row r="29" spans="1:10" ht="35.15" customHeight="1">
      <c r="A29" s="25"/>
      <c r="B29" s="24"/>
      <c r="C29" s="84" t="s">
        <v>59</v>
      </c>
      <c r="D29" s="12"/>
      <c r="E29" s="9" t="s">
        <v>60</v>
      </c>
      <c r="F29" s="21">
        <v>96</v>
      </c>
      <c r="G29" s="58">
        <v>83.186999999999998</v>
      </c>
      <c r="H29" s="11">
        <v>37</v>
      </c>
      <c r="I29" s="17" t="str">
        <f>IF($G29&gt;0,"STATION ON STREAM",IF(AND($G29=0,$H29&gt;0),"STATION ON STANDBY","STATION ON SHUTDOWN"))</f>
        <v>STATION ON STREAM</v>
      </c>
      <c r="J29" s="21">
        <f>G35*4</f>
        <v>0</v>
      </c>
    </row>
    <row r="30" spans="1:10" ht="35.15" customHeight="1">
      <c r="A30" s="28"/>
      <c r="B30" s="29"/>
      <c r="C30" s="87"/>
      <c r="D30" s="12"/>
      <c r="E30" s="13" t="s">
        <v>13</v>
      </c>
      <c r="F30" s="14"/>
      <c r="G30" s="63">
        <f>SUM(G29)</f>
        <v>83.186999999999998</v>
      </c>
      <c r="H30" s="27"/>
      <c r="I30" s="17"/>
      <c r="J30" s="17"/>
    </row>
    <row r="31" spans="1:10" ht="35.15" customHeight="1">
      <c r="A31" s="25"/>
      <c r="B31" s="24"/>
      <c r="C31" s="30" t="s">
        <v>61</v>
      </c>
      <c r="D31" s="30"/>
      <c r="E31" s="13" t="s">
        <v>62</v>
      </c>
      <c r="F31" s="13"/>
      <c r="G31" s="66">
        <f>SUM(G7+G14+G21+G23+G28+G30)</f>
        <v>586.28199999999993</v>
      </c>
      <c r="H31" s="27"/>
      <c r="I31" s="17"/>
      <c r="J31" s="17"/>
    </row>
    <row r="32" spans="1:10" ht="34.5" customHeight="1">
      <c r="A32" s="32"/>
      <c r="B32" s="24"/>
      <c r="C32" s="84" t="s">
        <v>63</v>
      </c>
      <c r="D32" s="12"/>
      <c r="E32" s="9" t="s">
        <v>64</v>
      </c>
      <c r="F32" s="9"/>
      <c r="G32" s="67">
        <v>48.945</v>
      </c>
      <c r="H32" s="31" t="s">
        <v>65</v>
      </c>
      <c r="I32" s="17" t="str">
        <f>IF($G32&gt;0,"STATION ON STREAM",IF(AND($G32=0,$H32&gt;0),"STATION ON STANDBY","STATION ON SHUTDOWN"))</f>
        <v>STATION ON STREAM</v>
      </c>
      <c r="J32" s="17"/>
    </row>
    <row r="33" spans="1:11" ht="35.15" customHeight="1">
      <c r="A33" s="25"/>
      <c r="B33" s="24"/>
      <c r="C33" s="88"/>
      <c r="D33" s="8"/>
      <c r="E33" s="13" t="s">
        <v>13</v>
      </c>
      <c r="F33" s="14"/>
      <c r="G33" s="57">
        <f>SUM(G32)</f>
        <v>48.945</v>
      </c>
      <c r="H33" s="27"/>
      <c r="I33" s="17"/>
      <c r="J33" s="17"/>
    </row>
    <row r="34" spans="1:11" ht="35.15" customHeight="1">
      <c r="A34" s="25"/>
      <c r="B34" s="24"/>
      <c r="C34" s="84" t="s">
        <v>14</v>
      </c>
      <c r="D34" s="8"/>
      <c r="E34" s="9" t="s">
        <v>66</v>
      </c>
      <c r="F34" s="9"/>
      <c r="G34" s="9">
        <v>10.257999999999999</v>
      </c>
      <c r="H34" s="31" t="s">
        <v>67</v>
      </c>
      <c r="I34" s="17" t="str">
        <f>IF($G34&gt;0,"STATION ON STREAM",IF(AND($G34=0,$H34&gt;0),"STATION ON STANDBY","STATION ON SHUTDOWN"))</f>
        <v>STATION ON STREAM</v>
      </c>
      <c r="J34" s="17"/>
    </row>
    <row r="35" spans="1:11" ht="35.15" customHeight="1">
      <c r="A35" s="25"/>
      <c r="B35" s="24"/>
      <c r="C35" s="85"/>
      <c r="D35" s="12"/>
      <c r="E35" s="9" t="s">
        <v>68</v>
      </c>
      <c r="F35" s="9"/>
      <c r="G35" s="65">
        <v>0</v>
      </c>
      <c r="H35" s="31" t="s">
        <v>65</v>
      </c>
      <c r="I35" s="17" t="str">
        <f>IF($G35&gt;0,"STATION ON STREAM",IF(AND($G35=0,$H35&gt;0),"STATION ON STANDBY","STATION ON SHUTDOWN"))</f>
        <v>STATION ON STANDBY</v>
      </c>
      <c r="J35" s="17"/>
    </row>
    <row r="36" spans="1:11" ht="35.25" customHeight="1">
      <c r="A36" s="25"/>
      <c r="B36" s="24"/>
      <c r="C36" s="85"/>
      <c r="D36" s="12"/>
      <c r="E36" s="13" t="s">
        <v>13</v>
      </c>
      <c r="F36" s="14"/>
      <c r="G36" s="57">
        <f>SUM(G34:G35)</f>
        <v>10.257999999999999</v>
      </c>
      <c r="H36" s="27"/>
      <c r="I36" s="17"/>
      <c r="J36" s="17"/>
    </row>
    <row r="37" spans="1:11" ht="35.15" customHeight="1">
      <c r="A37" s="25"/>
      <c r="B37" s="24"/>
      <c r="C37" s="85"/>
      <c r="D37" s="12"/>
      <c r="E37" s="9" t="s">
        <v>69</v>
      </c>
      <c r="F37" s="9"/>
      <c r="G37" s="64">
        <v>0</v>
      </c>
      <c r="H37" s="31" t="s">
        <v>65</v>
      </c>
      <c r="I37" s="17" t="str">
        <f>IF($G37&gt;0,"STATION ON STREAM",IF(AND($G37=0,$H37&gt;0),"STATION ON STANDBY","STATION ON SHUTDOWN"))</f>
        <v>STATION ON STANDBY</v>
      </c>
      <c r="J37" s="17"/>
    </row>
    <row r="38" spans="1:11" ht="35.15" customHeight="1">
      <c r="A38" s="33" t="s">
        <v>70</v>
      </c>
      <c r="B38" s="24"/>
      <c r="C38" s="87"/>
      <c r="D38" s="12"/>
      <c r="E38" s="9" t="s">
        <v>71</v>
      </c>
      <c r="F38" s="9"/>
      <c r="G38" s="51">
        <v>0</v>
      </c>
      <c r="H38" s="31" t="s">
        <v>136</v>
      </c>
      <c r="I38" s="17" t="str">
        <f>IF($G38&gt;0,"STATION ON STREAM",IF(AND($G38=0,$H38&gt;0),"STATION ON STANDBY","STATION ON SHUTDOWN"))</f>
        <v>STATION ON STANDBY</v>
      </c>
      <c r="J38" s="17"/>
    </row>
    <row r="39" spans="1:11" ht="35.15" customHeight="1">
      <c r="A39" s="25"/>
      <c r="B39" s="24"/>
      <c r="C39" s="68"/>
      <c r="D39" s="12"/>
      <c r="E39" s="9" t="s">
        <v>72</v>
      </c>
      <c r="F39" s="9"/>
      <c r="G39" s="64">
        <v>0</v>
      </c>
      <c r="H39" s="31" t="s">
        <v>73</v>
      </c>
      <c r="I39" s="17" t="str">
        <f>IF($G39&gt;0,"STATION ON STREAM",IF(AND($G39=0,$H39&gt;0),"STATION ON STANDBY","STATION ON SHUTDOWN"))</f>
        <v>STATION ON STANDBY</v>
      </c>
      <c r="J39" s="17"/>
    </row>
    <row r="40" spans="1:11" ht="35.15" customHeight="1">
      <c r="A40" s="25"/>
      <c r="B40" s="24"/>
      <c r="C40" s="84" t="s">
        <v>74</v>
      </c>
      <c r="D40" s="8"/>
      <c r="E40" s="9" t="s">
        <v>75</v>
      </c>
      <c r="F40" s="9"/>
      <c r="G40" s="64">
        <v>1.6890000000000001</v>
      </c>
      <c r="H40" s="31" t="s">
        <v>97</v>
      </c>
      <c r="I40" s="17" t="str">
        <f>IF($G40&gt;0,"STATION ON STREAM",IF(AND($G40=0,$H40&gt;0),"STATION ON STANDBY","STATION ON SHUTDOWN"))</f>
        <v>STATION ON STREAM</v>
      </c>
      <c r="J40" s="17"/>
      <c r="K40" s="43"/>
    </row>
    <row r="41" spans="1:11" ht="35.15" customHeight="1">
      <c r="A41" s="25"/>
      <c r="B41" s="24"/>
      <c r="C41" s="88"/>
      <c r="D41" s="8"/>
      <c r="E41" s="13" t="s">
        <v>13</v>
      </c>
      <c r="F41" s="14"/>
      <c r="G41" s="57">
        <f>SUM(G37:G40)</f>
        <v>1.6890000000000001</v>
      </c>
      <c r="H41" s="27"/>
      <c r="I41" s="17"/>
      <c r="J41" s="17"/>
      <c r="K41" s="44"/>
    </row>
    <row r="42" spans="1:11" ht="35.15" customHeight="1">
      <c r="A42" s="32"/>
      <c r="B42" s="24"/>
      <c r="C42" s="69" t="s">
        <v>51</v>
      </c>
      <c r="D42" s="8"/>
      <c r="E42" s="9" t="s">
        <v>77</v>
      </c>
      <c r="F42" s="9"/>
      <c r="G42" s="52">
        <v>1.857</v>
      </c>
      <c r="H42" s="35">
        <v>38.5</v>
      </c>
      <c r="I42" s="17" t="str">
        <f t="shared" ref="I42:I43" si="4">IF($G42&gt;0,"STATION ON STREAM",IF(AND($G42=0,$H42&gt;0),"STATION ON STANDBY","STATION ON SHUTDOWN"))</f>
        <v>STATION ON STREAM</v>
      </c>
      <c r="J42" s="42"/>
    </row>
    <row r="43" spans="1:11" ht="35.15" customHeight="1">
      <c r="A43" s="32"/>
      <c r="B43" s="24"/>
      <c r="C43" s="89"/>
      <c r="D43" s="8"/>
      <c r="E43" s="9" t="s">
        <v>78</v>
      </c>
      <c r="F43" s="9"/>
      <c r="G43" s="53">
        <v>0</v>
      </c>
      <c r="H43" s="35">
        <v>0</v>
      </c>
      <c r="I43" s="17" t="str">
        <f t="shared" si="4"/>
        <v>STATION ON SHUTDOWN</v>
      </c>
      <c r="J43" s="17"/>
    </row>
    <row r="44" spans="1:11" ht="35.15" customHeight="1">
      <c r="A44" s="36"/>
      <c r="B44" s="36"/>
      <c r="C44" s="89"/>
      <c r="D44" s="8"/>
      <c r="E44" s="9" t="s">
        <v>79</v>
      </c>
      <c r="F44" s="9"/>
      <c r="G44" s="53">
        <v>2.2400000000000002</v>
      </c>
      <c r="H44" s="35">
        <v>15</v>
      </c>
      <c r="I44" s="17" t="str">
        <f>IF($G45&gt;0,"STATION ON STREAM",IF(AND($G45=0,$H44&gt;0),"STATION ON STANDBY","STATION ON SHUTDOWN"))</f>
        <v>STATION ON STANDBY</v>
      </c>
      <c r="J44" s="42"/>
    </row>
    <row r="45" spans="1:11" ht="26.25" customHeight="1">
      <c r="A45" s="36"/>
      <c r="B45" s="36"/>
      <c r="C45" s="90"/>
      <c r="D45" s="8"/>
      <c r="E45" s="9" t="s">
        <v>80</v>
      </c>
      <c r="F45" s="9"/>
      <c r="G45" s="51">
        <v>0</v>
      </c>
      <c r="H45" s="35">
        <v>35</v>
      </c>
      <c r="I45" s="17" t="str">
        <f>IF($G45&gt;0,"STATION ON STREAM",IF(AND($G45=0,$H45&gt;0),"STATION ON STANDBY","STATION ON SHUTDOWN"))</f>
        <v>STATION ON STANDBY</v>
      </c>
      <c r="J45" s="42"/>
    </row>
    <row r="46" spans="1:11" ht="21" customHeight="1">
      <c r="A46" s="82"/>
      <c r="B46" s="83"/>
      <c r="C46" s="30"/>
      <c r="D46" s="12"/>
      <c r="E46" s="13" t="s">
        <v>13</v>
      </c>
      <c r="F46" s="14" t="s">
        <v>62</v>
      </c>
      <c r="G46" s="57">
        <f>SUM(G42:G45)</f>
        <v>4.0970000000000004</v>
      </c>
      <c r="H46" s="37"/>
      <c r="I46" s="14" t="s">
        <v>81</v>
      </c>
      <c r="J46" s="42"/>
    </row>
    <row r="47" spans="1:11" ht="25.5" customHeight="1">
      <c r="A47" s="38"/>
      <c r="B47" s="38"/>
      <c r="C47" s="30" t="s">
        <v>61</v>
      </c>
      <c r="D47" s="30"/>
      <c r="E47" s="13" t="s">
        <v>62</v>
      </c>
      <c r="F47" s="13" t="s">
        <v>62</v>
      </c>
      <c r="G47" s="57">
        <f>SUM(G33+G36+G41+G46)</f>
        <v>64.989000000000004</v>
      </c>
      <c r="H47" s="37"/>
      <c r="I47" s="13" t="s">
        <v>62</v>
      </c>
      <c r="J47" s="45"/>
    </row>
    <row r="48" spans="1:11" ht="18.5">
      <c r="A48" s="38"/>
      <c r="B48" s="38"/>
      <c r="C48" s="30" t="s">
        <v>82</v>
      </c>
      <c r="D48" s="30"/>
      <c r="E48" s="13" t="s">
        <v>62</v>
      </c>
      <c r="F48" s="13" t="s">
        <v>62</v>
      </c>
      <c r="G48" s="66">
        <f>SUM(G31+G47)</f>
        <v>651.27099999999996</v>
      </c>
      <c r="H48" s="39"/>
      <c r="I48" s="46"/>
      <c r="J48" s="47">
        <f>J14+J47+J7</f>
        <v>753.28916666666669</v>
      </c>
    </row>
    <row r="49" spans="1:10" ht="18.5">
      <c r="A49" s="38"/>
      <c r="B49" s="38"/>
      <c r="C49" s="34"/>
      <c r="D49" s="34"/>
      <c r="E49" s="34"/>
      <c r="F49" s="40"/>
      <c r="G49" s="40"/>
      <c r="H49" s="41"/>
      <c r="I49" s="40"/>
      <c r="J49" s="48"/>
    </row>
    <row r="50" spans="1:10" ht="18.5">
      <c r="C50" s="34"/>
      <c r="D50" s="34"/>
      <c r="E50" s="34"/>
      <c r="F50" s="34"/>
      <c r="G50" s="40"/>
      <c r="H50" s="41"/>
      <c r="I50" s="34"/>
      <c r="J50" s="34"/>
    </row>
  </sheetData>
  <sheetProtection formatCells="0" formatColumns="0" formatRows="0" insertColumns="0" insertRows="0"/>
  <mergeCells count="15">
    <mergeCell ref="A46:B46"/>
    <mergeCell ref="C24:C28"/>
    <mergeCell ref="C29:C30"/>
    <mergeCell ref="C32:C33"/>
    <mergeCell ref="C34:C38"/>
    <mergeCell ref="C40:C41"/>
    <mergeCell ref="C42:C45"/>
    <mergeCell ref="C15:C18"/>
    <mergeCell ref="A19:B23"/>
    <mergeCell ref="C19:C21"/>
    <mergeCell ref="A1:J2"/>
    <mergeCell ref="A3:J3"/>
    <mergeCell ref="A5:B5"/>
    <mergeCell ref="C6:C7"/>
    <mergeCell ref="C8:C14"/>
  </mergeCells>
  <printOptions horizontalCentered="1"/>
  <pageMargins left="0.196850393700787" right="0.196850393700787" top="0" bottom="0" header="0.118110236220472" footer="0.118110236220472"/>
  <pageSetup paperSize="9" scale="40" fitToHeight="0" orientation="portrait" verticalDpi="300" r:id="rId1"/>
  <headerFooter alignWithMargins="0">
    <oddHeader>&amp;C&amp;KFFA500&amp;10&amp;"Calibri"Confidential: Internal Use Only</oddHeader>
    <oddFooter>&amp;C&amp;KFFA500&amp;10&amp;"Calibri"Confidential: Internal Use Only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6E618-B7A8-4638-A654-0BA3235E4730}">
  <sheetPr codeName="Sheet16">
    <pageSetUpPr fitToPage="1"/>
  </sheetPr>
  <dimension ref="A1:K50"/>
  <sheetViews>
    <sheetView showGridLines="0" tabSelected="1" view="pageBreakPreview" topLeftCell="D1" zoomScale="73" zoomScaleNormal="55" zoomScaleSheetLayoutView="73" zoomScalePageLayoutView="10" workbookViewId="0">
      <selection activeCell="A53" sqref="A50:XFD53"/>
    </sheetView>
  </sheetViews>
  <sheetFormatPr defaultColWidth="9" defaultRowHeight="14.5"/>
  <cols>
    <col min="1" max="1" width="15.26953125" customWidth="1"/>
    <col min="2" max="2" width="2.90625" customWidth="1"/>
    <col min="3" max="3" width="18.7265625" customWidth="1"/>
    <col min="4" max="4" width="29.7265625" customWidth="1"/>
    <col min="5" max="5" width="44.08984375" customWidth="1"/>
    <col min="6" max="6" width="22.26953125" customWidth="1"/>
    <col min="7" max="7" width="21" customWidth="1"/>
    <col min="8" max="8" width="23" style="1" customWidth="1"/>
    <col min="9" max="9" width="38.6328125" customWidth="1"/>
    <col min="10" max="10" width="20.36328125" customWidth="1"/>
    <col min="14" max="14" width="8.7265625" customWidth="1"/>
    <col min="15" max="15" width="8.08984375" customWidth="1"/>
    <col min="17" max="17" width="9.26953125" customWidth="1"/>
    <col min="21" max="21" width="9.08984375" customWidth="1"/>
  </cols>
  <sheetData>
    <row r="1" spans="1:10" ht="59.25" customHeight="1">
      <c r="A1" s="75" t="s">
        <v>0</v>
      </c>
      <c r="B1" s="75"/>
      <c r="C1" s="75"/>
      <c r="D1" s="75"/>
      <c r="E1" s="75"/>
      <c r="F1" s="75"/>
      <c r="G1" s="75"/>
      <c r="H1" s="75"/>
      <c r="I1" s="75"/>
      <c r="J1" s="75"/>
    </row>
    <row r="2" spans="1:10" ht="18.75" customHeight="1">
      <c r="A2" s="75"/>
      <c r="B2" s="75"/>
      <c r="C2" s="75"/>
      <c r="D2" s="75"/>
      <c r="E2" s="75"/>
      <c r="F2" s="75"/>
      <c r="G2" s="75"/>
      <c r="H2" s="75"/>
      <c r="I2" s="75"/>
      <c r="J2" s="75"/>
    </row>
    <row r="3" spans="1:10" ht="33" customHeight="1">
      <c r="A3" s="76" t="s">
        <v>242</v>
      </c>
      <c r="B3" s="77"/>
      <c r="C3" s="77"/>
      <c r="D3" s="77"/>
      <c r="E3" s="77"/>
      <c r="F3" s="77"/>
      <c r="G3" s="77"/>
      <c r="H3" s="77"/>
      <c r="I3" s="77"/>
      <c r="J3" s="77"/>
    </row>
    <row r="4" spans="1:10" ht="9.75" customHeight="1">
      <c r="A4" s="2"/>
      <c r="B4" s="2"/>
      <c r="C4" s="2"/>
      <c r="D4" s="2"/>
      <c r="E4" s="2"/>
      <c r="F4" s="2"/>
      <c r="G4" s="2"/>
      <c r="H4" s="3"/>
      <c r="I4" s="2" t="s">
        <v>1</v>
      </c>
      <c r="J4" s="2"/>
    </row>
    <row r="5" spans="1:10" ht="43">
      <c r="A5" s="78" t="s">
        <v>2</v>
      </c>
      <c r="B5" s="79"/>
      <c r="C5" s="4" t="s">
        <v>3</v>
      </c>
      <c r="D5" s="4"/>
      <c r="E5" s="4" t="s">
        <v>4</v>
      </c>
      <c r="F5" s="4" t="s">
        <v>5</v>
      </c>
      <c r="G5" s="4" t="s">
        <v>6</v>
      </c>
      <c r="H5" s="5" t="s">
        <v>7</v>
      </c>
      <c r="I5" s="4" t="s">
        <v>8</v>
      </c>
      <c r="J5" s="18" t="s">
        <v>9</v>
      </c>
    </row>
    <row r="6" spans="1:10" ht="40.5" customHeight="1">
      <c r="A6" s="6"/>
      <c r="B6" s="7"/>
      <c r="C6" s="80" t="s">
        <v>10</v>
      </c>
      <c r="D6" s="8"/>
      <c r="E6" s="9" t="s">
        <v>11</v>
      </c>
      <c r="F6" s="54">
        <v>47.8</v>
      </c>
      <c r="G6" s="54">
        <v>58.572999999999993</v>
      </c>
      <c r="H6" s="55" t="s">
        <v>12</v>
      </c>
      <c r="I6" s="17" t="str">
        <f>IF($G6&gt;0,"STATION ON STREAM",IF(AND($G6=0,$H6&gt;0),"STATION ON STANDBY","STATION ON SHUTDOWN"))</f>
        <v>STATION ON STREAM</v>
      </c>
      <c r="J6" s="56">
        <v>248.25</v>
      </c>
    </row>
    <row r="7" spans="1:10" ht="35.15" customHeight="1">
      <c r="A7" s="6"/>
      <c r="B7" s="7"/>
      <c r="C7" s="81"/>
      <c r="D7" s="12"/>
      <c r="E7" s="13" t="s">
        <v>13</v>
      </c>
      <c r="F7" s="14"/>
      <c r="G7" s="57">
        <f>G6</f>
        <v>58.572999999999993</v>
      </c>
      <c r="H7" s="15"/>
      <c r="I7" s="17"/>
      <c r="J7" s="19">
        <f>J6</f>
        <v>248.25</v>
      </c>
    </row>
    <row r="8" spans="1:10" ht="29.25" customHeight="1">
      <c r="A8" s="6"/>
      <c r="B8" s="7"/>
      <c r="C8" s="81"/>
      <c r="D8" s="12"/>
      <c r="E8" s="9" t="s">
        <v>19</v>
      </c>
      <c r="F8" s="10">
        <v>25</v>
      </c>
      <c r="G8" s="58">
        <v>27.202999999999999</v>
      </c>
      <c r="H8" s="16" t="s">
        <v>155</v>
      </c>
      <c r="I8" s="17" t="str">
        <f>IF($G8&gt;0,"STATION ON STREAM",IF(AND($G8=0,$H9&gt;0),"STATION ON STANDBY","STATION ON SHUTDOWN"))</f>
        <v>STATION ON STREAM</v>
      </c>
      <c r="J8" s="56">
        <v>105.1</v>
      </c>
    </row>
    <row r="9" spans="1:10" ht="35.15" customHeight="1">
      <c r="A9" s="6"/>
      <c r="B9" s="7"/>
      <c r="C9" s="81"/>
      <c r="D9" s="12"/>
      <c r="E9" s="9" t="s">
        <v>20</v>
      </c>
      <c r="F9" s="10">
        <v>13</v>
      </c>
      <c r="G9" s="58">
        <v>6.69</v>
      </c>
      <c r="H9" s="16" t="s">
        <v>202</v>
      </c>
      <c r="I9" s="17" t="str">
        <f t="shared" ref="I9:I13" si="0">IF($G9&gt;0,"STATION ON STREAM",IF(AND($G9=0,$H9&gt;0),"STATION ON STANDBY","STATION ON SHUTDOWN"))</f>
        <v>STATION ON STREAM</v>
      </c>
      <c r="J9" s="56">
        <v>84.62</v>
      </c>
    </row>
    <row r="10" spans="1:10" ht="35.15" customHeight="1">
      <c r="A10" s="6"/>
      <c r="B10" s="7"/>
      <c r="C10" s="81"/>
      <c r="D10" s="12"/>
      <c r="E10" s="9" t="s">
        <v>22</v>
      </c>
      <c r="F10" s="21">
        <v>17</v>
      </c>
      <c r="G10" s="58">
        <v>7.8650000000000002</v>
      </c>
      <c r="H10" s="16" t="s">
        <v>201</v>
      </c>
      <c r="I10" s="17" t="str">
        <f t="shared" si="0"/>
        <v>STATION ON STREAM</v>
      </c>
      <c r="J10" s="56">
        <v>28</v>
      </c>
    </row>
    <row r="11" spans="1:10" ht="35.15" customHeight="1">
      <c r="A11" s="6"/>
      <c r="B11" s="7"/>
      <c r="C11" s="81"/>
      <c r="D11" s="12"/>
      <c r="E11" s="9" t="s">
        <v>23</v>
      </c>
      <c r="F11" s="10">
        <v>25</v>
      </c>
      <c r="G11" s="58">
        <v>6.3049999999999997</v>
      </c>
      <c r="H11" s="16" t="s">
        <v>15</v>
      </c>
      <c r="I11" s="17" t="str">
        <f t="shared" si="0"/>
        <v>STATION ON STREAM</v>
      </c>
      <c r="J11" s="56">
        <v>19.052083333333332</v>
      </c>
    </row>
    <row r="12" spans="1:10" ht="35.15" customHeight="1">
      <c r="A12" s="6"/>
      <c r="B12" s="7"/>
      <c r="C12" s="81"/>
      <c r="D12" s="12"/>
      <c r="E12" s="9" t="s">
        <v>24</v>
      </c>
      <c r="F12" s="10">
        <v>0</v>
      </c>
      <c r="G12" s="58">
        <v>0</v>
      </c>
      <c r="H12" s="16" t="s">
        <v>129</v>
      </c>
      <c r="I12" s="17" t="str">
        <f t="shared" si="0"/>
        <v>STATION ON STANDBY</v>
      </c>
      <c r="J12" s="56">
        <v>0</v>
      </c>
    </row>
    <row r="13" spans="1:10" ht="35.15" customHeight="1">
      <c r="A13" s="6"/>
      <c r="B13" s="7"/>
      <c r="C13" s="81"/>
      <c r="D13" s="12"/>
      <c r="E13" s="9" t="s">
        <v>25</v>
      </c>
      <c r="F13" s="10">
        <v>31.52</v>
      </c>
      <c r="G13" s="58">
        <v>63.713999999999999</v>
      </c>
      <c r="H13" s="11" t="s">
        <v>150</v>
      </c>
      <c r="I13" s="17" t="str">
        <f t="shared" si="0"/>
        <v>STATION ON STREAM</v>
      </c>
      <c r="J13" s="56">
        <v>269.77999999999997</v>
      </c>
    </row>
    <row r="14" spans="1:10" ht="35.15" customHeight="1">
      <c r="A14" s="6"/>
      <c r="B14" s="7"/>
      <c r="C14" s="81"/>
      <c r="D14" s="12"/>
      <c r="E14" s="13" t="s">
        <v>13</v>
      </c>
      <c r="F14" s="14"/>
      <c r="G14" s="57">
        <f>SUM(G8:G13)</f>
        <v>111.777</v>
      </c>
      <c r="H14" s="15"/>
      <c r="I14" s="17"/>
      <c r="J14" s="19">
        <f>SUM(J8:J13)</f>
        <v>506.55208333333331</v>
      </c>
    </row>
    <row r="15" spans="1:10" ht="35.15" customHeight="1">
      <c r="A15" s="6"/>
      <c r="B15" s="7"/>
      <c r="C15" s="69"/>
      <c r="D15" s="8"/>
      <c r="E15" s="9" t="s">
        <v>27</v>
      </c>
      <c r="F15" s="21"/>
      <c r="G15" s="21">
        <v>50.5</v>
      </c>
      <c r="H15" s="11" t="s">
        <v>119</v>
      </c>
      <c r="I15" s="17" t="str">
        <f t="shared" ref="I15:I18" si="1">IF($G15&gt;0,"STATION ON STREAM",IF(AND($G15=0,$H15&gt;0),"STATION ON STANDBY","STATION ON SHUTDOWN"))</f>
        <v>STATION ON STREAM</v>
      </c>
      <c r="J15" s="17"/>
    </row>
    <row r="16" spans="1:10" ht="35.15" customHeight="1">
      <c r="A16" s="6"/>
      <c r="B16" s="7"/>
      <c r="C16" s="70"/>
      <c r="D16" s="12"/>
      <c r="E16" s="9" t="s">
        <v>29</v>
      </c>
      <c r="F16" s="21"/>
      <c r="G16" s="58">
        <v>11.087</v>
      </c>
      <c r="H16" s="11" t="s">
        <v>203</v>
      </c>
      <c r="I16" s="17" t="str">
        <f t="shared" si="1"/>
        <v>STATION ON STREAM</v>
      </c>
      <c r="J16" s="17"/>
    </row>
    <row r="17" spans="1:10" ht="35.15" customHeight="1">
      <c r="A17" s="6"/>
      <c r="B17" s="7"/>
      <c r="C17" s="70"/>
      <c r="D17" s="12"/>
      <c r="E17" s="9" t="s">
        <v>31</v>
      </c>
      <c r="F17" s="21"/>
      <c r="G17" s="58">
        <v>0</v>
      </c>
      <c r="H17" s="11" t="s">
        <v>204</v>
      </c>
      <c r="I17" s="17" t="str">
        <f t="shared" si="1"/>
        <v>STATION ON STANDBY</v>
      </c>
      <c r="J17" s="17"/>
    </row>
    <row r="18" spans="1:10" ht="35.15" customHeight="1">
      <c r="A18" s="6"/>
      <c r="B18" s="7"/>
      <c r="C18" s="70"/>
      <c r="D18" s="12"/>
      <c r="E18" s="9" t="s">
        <v>33</v>
      </c>
      <c r="F18" s="21"/>
      <c r="G18" s="58">
        <v>30.640999999999998</v>
      </c>
      <c r="H18" s="11" t="s">
        <v>134</v>
      </c>
      <c r="I18" s="17" t="str">
        <f t="shared" si="1"/>
        <v>STATION ON STREAM</v>
      </c>
      <c r="J18" s="17"/>
    </row>
    <row r="19" spans="1:10" ht="34.5" customHeight="1">
      <c r="A19" s="72"/>
      <c r="B19" s="73"/>
      <c r="C19" s="74"/>
      <c r="D19" s="12"/>
      <c r="E19" s="17" t="s">
        <v>47</v>
      </c>
      <c r="F19" s="49"/>
      <c r="G19" s="59">
        <v>0</v>
      </c>
      <c r="H19" s="16" t="s">
        <v>141</v>
      </c>
      <c r="I19" s="17" t="str">
        <f t="shared" ref="I19:I20" si="2">IF($G19&gt;0,"STATION ON STREAM",IF(AND($G19=0,$H19&gt;0),"STATION ON STANDBY","STATION ON SHUTDOWN"))</f>
        <v>STATION ON STANDBY</v>
      </c>
      <c r="J19" s="17"/>
    </row>
    <row r="20" spans="1:10" ht="34.5" customHeight="1">
      <c r="A20" s="72"/>
      <c r="B20" s="73"/>
      <c r="C20" s="74"/>
      <c r="D20" s="12"/>
      <c r="E20" s="17" t="s">
        <v>49</v>
      </c>
      <c r="F20" s="49"/>
      <c r="G20" s="59">
        <v>8.0000000000000002E-3</v>
      </c>
      <c r="H20" s="16" t="s">
        <v>141</v>
      </c>
      <c r="I20" s="17" t="str">
        <f t="shared" si="2"/>
        <v>STATION ON STREAM</v>
      </c>
      <c r="J20" s="17"/>
    </row>
    <row r="21" spans="1:10" ht="35.15" customHeight="1">
      <c r="A21" s="72"/>
      <c r="B21" s="73"/>
      <c r="C21" s="71"/>
      <c r="D21" s="12"/>
      <c r="E21" s="13" t="s">
        <v>13</v>
      </c>
      <c r="F21" s="14"/>
      <c r="G21" s="60">
        <f>SUM(G15:G20)</f>
        <v>92.236000000000004</v>
      </c>
      <c r="H21" s="20"/>
      <c r="I21" s="17"/>
      <c r="J21" s="17"/>
    </row>
    <row r="22" spans="1:10" ht="35.15" customHeight="1">
      <c r="A22" s="72"/>
      <c r="B22" s="73"/>
      <c r="C22" s="68"/>
      <c r="D22" s="12"/>
      <c r="E22" s="9" t="s">
        <v>50</v>
      </c>
      <c r="F22" s="21"/>
      <c r="G22" s="21">
        <v>1.85</v>
      </c>
      <c r="H22" s="21" t="s">
        <v>12</v>
      </c>
      <c r="I22" s="17" t="str">
        <f>IF($G22&gt;0,"STATION ON STREAM",IF(AND($G22=0,$H22&gt;0),"STATION ON STANDBY","STATION ON SHUTDOWN"))</f>
        <v>STATION ON STREAM</v>
      </c>
      <c r="J22" s="17"/>
    </row>
    <row r="23" spans="1:10" ht="35.15" customHeight="1">
      <c r="A23" s="72"/>
      <c r="B23" s="73"/>
      <c r="C23" s="68"/>
      <c r="D23" s="12"/>
      <c r="E23" s="13" t="s">
        <v>13</v>
      </c>
      <c r="F23" s="14"/>
      <c r="G23" s="61">
        <f>SUM(G22)</f>
        <v>1.85</v>
      </c>
      <c r="H23" s="23"/>
      <c r="I23" s="17"/>
      <c r="J23" s="17"/>
    </row>
    <row r="24" spans="1:10" ht="35.15" customHeight="1">
      <c r="A24" s="6"/>
      <c r="B24" s="24"/>
      <c r="C24" s="84" t="s">
        <v>51</v>
      </c>
      <c r="D24" s="12"/>
      <c r="E24" s="9" t="s">
        <v>52</v>
      </c>
      <c r="F24" s="50">
        <v>46</v>
      </c>
      <c r="G24" s="62">
        <v>49.738999999999997</v>
      </c>
      <c r="H24" s="22">
        <v>34</v>
      </c>
      <c r="I24" s="17" t="str">
        <f t="shared" ref="I24:I27" si="3">IF($G24&gt;0,"STATION ON STREAM",IF(AND($G24=0,$H24&gt;0),"STATION ON STANDBY","STATION ON SHUTDOWN"))</f>
        <v>STATION ON STREAM</v>
      </c>
      <c r="J24" s="17"/>
    </row>
    <row r="25" spans="1:10" ht="35.15" customHeight="1">
      <c r="A25" s="25"/>
      <c r="B25" s="24"/>
      <c r="C25" s="85"/>
      <c r="D25" s="12"/>
      <c r="E25" s="9" t="s">
        <v>53</v>
      </c>
      <c r="F25" s="50">
        <v>1</v>
      </c>
      <c r="G25" s="62">
        <v>0.93700000000000006</v>
      </c>
      <c r="H25" s="22" t="s">
        <v>54</v>
      </c>
      <c r="I25" s="17" t="str">
        <f t="shared" si="3"/>
        <v>STATION ON STREAM</v>
      </c>
      <c r="J25" s="17"/>
    </row>
    <row r="26" spans="1:10" ht="35.15" customHeight="1">
      <c r="A26" s="25"/>
      <c r="B26" s="24"/>
      <c r="C26" s="85"/>
      <c r="D26" s="8"/>
      <c r="E26" s="9" t="s">
        <v>55</v>
      </c>
      <c r="F26" s="50">
        <v>188</v>
      </c>
      <c r="G26" s="62">
        <v>189.39</v>
      </c>
      <c r="H26" s="22" t="s">
        <v>127</v>
      </c>
      <c r="I26" s="17" t="str">
        <f t="shared" si="3"/>
        <v>STATION ON STREAM</v>
      </c>
      <c r="J26" s="42"/>
    </row>
    <row r="27" spans="1:10" ht="35.15" customHeight="1">
      <c r="A27" s="25"/>
      <c r="B27" s="24"/>
      <c r="C27" s="86"/>
      <c r="D27" s="12"/>
      <c r="E27" s="9" t="s">
        <v>57</v>
      </c>
      <c r="F27" s="50">
        <v>0.3</v>
      </c>
      <c r="G27" s="62">
        <v>0.216</v>
      </c>
      <c r="H27" s="22" t="s">
        <v>58</v>
      </c>
      <c r="I27" s="17" t="str">
        <f t="shared" si="3"/>
        <v>STATION ON STREAM</v>
      </c>
      <c r="J27" s="21">
        <v>0</v>
      </c>
    </row>
    <row r="28" spans="1:10" ht="35.15" customHeight="1">
      <c r="A28" s="25"/>
      <c r="B28" s="24"/>
      <c r="C28" s="87"/>
      <c r="D28" s="8"/>
      <c r="E28" s="13" t="s">
        <v>13</v>
      </c>
      <c r="F28" s="26"/>
      <c r="G28" s="57">
        <f>SUM(G24+G25+G26+G27)</f>
        <v>240.28199999999998</v>
      </c>
      <c r="H28" s="15"/>
      <c r="I28" s="17"/>
      <c r="J28" s="21"/>
    </row>
    <row r="29" spans="1:10" ht="35.15" customHeight="1">
      <c r="A29" s="25"/>
      <c r="B29" s="24"/>
      <c r="C29" s="84" t="s">
        <v>59</v>
      </c>
      <c r="D29" s="12"/>
      <c r="E29" s="9" t="s">
        <v>60</v>
      </c>
      <c r="F29" s="21">
        <v>96</v>
      </c>
      <c r="G29" s="58">
        <v>81.31</v>
      </c>
      <c r="H29" s="11">
        <v>38</v>
      </c>
      <c r="I29" s="17" t="str">
        <f>IF($G29&gt;0,"STATION ON STREAM",IF(AND($G29=0,$H29&gt;0),"STATION ON STANDBY","STATION ON SHUTDOWN"))</f>
        <v>STATION ON STREAM</v>
      </c>
      <c r="J29" s="21">
        <f>G35*4</f>
        <v>0</v>
      </c>
    </row>
    <row r="30" spans="1:10" ht="35.15" customHeight="1">
      <c r="A30" s="28"/>
      <c r="B30" s="29"/>
      <c r="C30" s="87"/>
      <c r="D30" s="12"/>
      <c r="E30" s="13" t="s">
        <v>13</v>
      </c>
      <c r="F30" s="14"/>
      <c r="G30" s="63">
        <f>SUM(G29)</f>
        <v>81.31</v>
      </c>
      <c r="H30" s="27"/>
      <c r="I30" s="17"/>
      <c r="J30" s="17"/>
    </row>
    <row r="31" spans="1:10" ht="35.15" customHeight="1">
      <c r="A31" s="25"/>
      <c r="B31" s="24"/>
      <c r="C31" s="30" t="s">
        <v>61</v>
      </c>
      <c r="D31" s="30"/>
      <c r="E31" s="13" t="s">
        <v>62</v>
      </c>
      <c r="F31" s="13"/>
      <c r="G31" s="66">
        <f>SUM(G7+G14+G21+G23+G28+G30)</f>
        <v>586.02800000000002</v>
      </c>
      <c r="H31" s="27"/>
      <c r="I31" s="17"/>
      <c r="J31" s="17"/>
    </row>
    <row r="32" spans="1:10" ht="34.5" customHeight="1">
      <c r="A32" s="32"/>
      <c r="B32" s="24"/>
      <c r="C32" s="84" t="s">
        <v>63</v>
      </c>
      <c r="D32" s="12"/>
      <c r="E32" s="9" t="s">
        <v>64</v>
      </c>
      <c r="F32" s="9"/>
      <c r="G32" s="67">
        <v>46.366</v>
      </c>
      <c r="H32" s="31" t="s">
        <v>65</v>
      </c>
      <c r="I32" s="17" t="str">
        <f>IF($G32&gt;0,"STATION ON STREAM",IF(AND($G32=0,$H32&gt;0),"STATION ON STANDBY","STATION ON SHUTDOWN"))</f>
        <v>STATION ON STREAM</v>
      </c>
      <c r="J32" s="17"/>
    </row>
    <row r="33" spans="1:11" ht="35.15" customHeight="1">
      <c r="A33" s="25"/>
      <c r="B33" s="24"/>
      <c r="C33" s="88"/>
      <c r="D33" s="8"/>
      <c r="E33" s="13" t="s">
        <v>13</v>
      </c>
      <c r="F33" s="14"/>
      <c r="G33" s="57">
        <f>SUM(G32)</f>
        <v>46.366</v>
      </c>
      <c r="H33" s="27"/>
      <c r="I33" s="17"/>
      <c r="J33" s="17"/>
    </row>
    <row r="34" spans="1:11" ht="35.15" customHeight="1">
      <c r="A34" s="25"/>
      <c r="B34" s="24"/>
      <c r="C34" s="84" t="s">
        <v>14</v>
      </c>
      <c r="D34" s="8"/>
      <c r="E34" s="9" t="s">
        <v>66</v>
      </c>
      <c r="F34" s="9"/>
      <c r="G34" s="9">
        <v>12.863</v>
      </c>
      <c r="H34" s="31" t="s">
        <v>67</v>
      </c>
      <c r="I34" s="17" t="str">
        <f>IF($G34&gt;0,"STATION ON STREAM",IF(AND($G34=0,$H34&gt;0),"STATION ON STANDBY","STATION ON SHUTDOWN"))</f>
        <v>STATION ON STREAM</v>
      </c>
      <c r="J34" s="17"/>
    </row>
    <row r="35" spans="1:11" ht="35.15" customHeight="1">
      <c r="A35" s="25"/>
      <c r="B35" s="24"/>
      <c r="C35" s="85"/>
      <c r="D35" s="12"/>
      <c r="E35" s="9" t="s">
        <v>68</v>
      </c>
      <c r="F35" s="9"/>
      <c r="G35" s="65">
        <v>0</v>
      </c>
      <c r="H35" s="31" t="s">
        <v>65</v>
      </c>
      <c r="I35" s="17" t="str">
        <f>IF($G35&gt;0,"STATION ON STREAM",IF(AND($G35=0,$H35&gt;0),"STATION ON STANDBY","STATION ON SHUTDOWN"))</f>
        <v>STATION ON STANDBY</v>
      </c>
      <c r="J35" s="17"/>
    </row>
    <row r="36" spans="1:11" ht="35.25" customHeight="1">
      <c r="A36" s="25"/>
      <c r="B36" s="24"/>
      <c r="C36" s="85"/>
      <c r="D36" s="12"/>
      <c r="E36" s="13" t="s">
        <v>13</v>
      </c>
      <c r="F36" s="14"/>
      <c r="G36" s="57">
        <f>SUM(G34:G35)</f>
        <v>12.863</v>
      </c>
      <c r="H36" s="27"/>
      <c r="I36" s="17"/>
      <c r="J36" s="17"/>
    </row>
    <row r="37" spans="1:11" ht="35.15" customHeight="1">
      <c r="A37" s="25"/>
      <c r="B37" s="24"/>
      <c r="C37" s="85"/>
      <c r="D37" s="12"/>
      <c r="E37" s="9" t="s">
        <v>69</v>
      </c>
      <c r="F37" s="9"/>
      <c r="G37" s="64">
        <v>0</v>
      </c>
      <c r="H37" s="31" t="s">
        <v>65</v>
      </c>
      <c r="I37" s="17" t="str">
        <f>IF($G37&gt;0,"STATION ON STREAM",IF(AND($G37=0,$H37&gt;0),"STATION ON STANDBY","STATION ON SHUTDOWN"))</f>
        <v>STATION ON STANDBY</v>
      </c>
      <c r="J37" s="17"/>
    </row>
    <row r="38" spans="1:11" ht="35.15" customHeight="1">
      <c r="A38" s="33" t="s">
        <v>70</v>
      </c>
      <c r="B38" s="24"/>
      <c r="C38" s="87"/>
      <c r="D38" s="12"/>
      <c r="E38" s="9" t="s">
        <v>71</v>
      </c>
      <c r="F38" s="9"/>
      <c r="G38" s="51">
        <v>0</v>
      </c>
      <c r="H38" s="31" t="s">
        <v>136</v>
      </c>
      <c r="I38" s="17" t="str">
        <f>IF($G38&gt;0,"STATION ON STREAM",IF(AND($G38=0,$H38&gt;0),"STATION ON STANDBY","STATION ON SHUTDOWN"))</f>
        <v>STATION ON STANDBY</v>
      </c>
      <c r="J38" s="17"/>
    </row>
    <row r="39" spans="1:11" ht="35.15" customHeight="1">
      <c r="A39" s="25"/>
      <c r="B39" s="24"/>
      <c r="C39" s="68"/>
      <c r="D39" s="12"/>
      <c r="E39" s="9" t="s">
        <v>72</v>
      </c>
      <c r="F39" s="9"/>
      <c r="G39" s="64">
        <v>0</v>
      </c>
      <c r="H39" s="31" t="s">
        <v>73</v>
      </c>
      <c r="I39" s="17" t="str">
        <f>IF($G39&gt;0,"STATION ON STREAM",IF(AND($G39=0,$H39&gt;0),"STATION ON STANDBY","STATION ON SHUTDOWN"))</f>
        <v>STATION ON STANDBY</v>
      </c>
      <c r="J39" s="17"/>
    </row>
    <row r="40" spans="1:11" ht="35.15" customHeight="1">
      <c r="A40" s="25"/>
      <c r="B40" s="24"/>
      <c r="C40" s="84" t="s">
        <v>74</v>
      </c>
      <c r="D40" s="8"/>
      <c r="E40" s="9" t="s">
        <v>75</v>
      </c>
      <c r="F40" s="9"/>
      <c r="G40" s="64">
        <v>1.7490000000000001</v>
      </c>
      <c r="H40" s="31" t="s">
        <v>97</v>
      </c>
      <c r="I40" s="17" t="str">
        <f>IF($G40&gt;0,"STATION ON STREAM",IF(AND($G40=0,$H40&gt;0),"STATION ON STANDBY","STATION ON SHUTDOWN"))</f>
        <v>STATION ON STREAM</v>
      </c>
      <c r="J40" s="17"/>
      <c r="K40" s="43"/>
    </row>
    <row r="41" spans="1:11" ht="35.15" customHeight="1">
      <c r="A41" s="25"/>
      <c r="B41" s="24"/>
      <c r="C41" s="88"/>
      <c r="D41" s="8"/>
      <c r="E41" s="13" t="s">
        <v>13</v>
      </c>
      <c r="F41" s="14"/>
      <c r="G41" s="57">
        <f>SUM(G37:G40)</f>
        <v>1.7490000000000001</v>
      </c>
      <c r="H41" s="27"/>
      <c r="I41" s="17"/>
      <c r="J41" s="17"/>
      <c r="K41" s="44"/>
    </row>
    <row r="42" spans="1:11" ht="35.15" customHeight="1">
      <c r="A42" s="32"/>
      <c r="B42" s="24"/>
      <c r="C42" s="69" t="s">
        <v>51</v>
      </c>
      <c r="D42" s="8"/>
      <c r="E42" s="9" t="s">
        <v>77</v>
      </c>
      <c r="F42" s="9"/>
      <c r="G42" s="52">
        <v>1.58</v>
      </c>
      <c r="H42" s="35">
        <v>44</v>
      </c>
      <c r="I42" s="17" t="str">
        <f t="shared" ref="I42:I43" si="4">IF($G42&gt;0,"STATION ON STREAM",IF(AND($G42=0,$H42&gt;0),"STATION ON STANDBY","STATION ON SHUTDOWN"))</f>
        <v>STATION ON STREAM</v>
      </c>
      <c r="J42" s="42"/>
    </row>
    <row r="43" spans="1:11" ht="35.15" customHeight="1">
      <c r="A43" s="32"/>
      <c r="B43" s="24"/>
      <c r="C43" s="89"/>
      <c r="D43" s="8"/>
      <c r="E43" s="9" t="s">
        <v>78</v>
      </c>
      <c r="F43" s="9"/>
      <c r="G43" s="53">
        <v>0</v>
      </c>
      <c r="H43" s="35">
        <v>0</v>
      </c>
      <c r="I43" s="17" t="str">
        <f t="shared" si="4"/>
        <v>STATION ON SHUTDOWN</v>
      </c>
      <c r="J43" s="17"/>
    </row>
    <row r="44" spans="1:11" ht="35.15" customHeight="1">
      <c r="A44" s="36"/>
      <c r="B44" s="36"/>
      <c r="C44" s="89"/>
      <c r="D44" s="8"/>
      <c r="E44" s="9" t="s">
        <v>79</v>
      </c>
      <c r="F44" s="9"/>
      <c r="G44" s="53">
        <v>2.2400000000000002</v>
      </c>
      <c r="H44" s="35">
        <v>15</v>
      </c>
      <c r="I44" s="17" t="str">
        <f>IF($G45&gt;0,"STATION ON STREAM",IF(AND($G45=0,$H44&gt;0),"STATION ON STANDBY","STATION ON SHUTDOWN"))</f>
        <v>STATION ON STANDBY</v>
      </c>
      <c r="J44" s="42"/>
    </row>
    <row r="45" spans="1:11" ht="26.25" customHeight="1">
      <c r="A45" s="36"/>
      <c r="B45" s="36"/>
      <c r="C45" s="90"/>
      <c r="D45" s="8"/>
      <c r="E45" s="9" t="s">
        <v>80</v>
      </c>
      <c r="F45" s="9"/>
      <c r="G45" s="51">
        <v>0</v>
      </c>
      <c r="H45" s="35">
        <v>35</v>
      </c>
      <c r="I45" s="17" t="str">
        <f>IF($G45&gt;0,"STATION ON STREAM",IF(AND($G45=0,$H45&gt;0),"STATION ON STANDBY","STATION ON SHUTDOWN"))</f>
        <v>STATION ON STANDBY</v>
      </c>
      <c r="J45" s="42"/>
    </row>
    <row r="46" spans="1:11" ht="21" customHeight="1">
      <c r="A46" s="82"/>
      <c r="B46" s="83"/>
      <c r="C46" s="30"/>
      <c r="D46" s="12"/>
      <c r="E46" s="13" t="s">
        <v>13</v>
      </c>
      <c r="F46" s="14" t="s">
        <v>62</v>
      </c>
      <c r="G46" s="57">
        <f>SUM(G42:G45)</f>
        <v>3.8200000000000003</v>
      </c>
      <c r="H46" s="37"/>
      <c r="I46" s="14" t="s">
        <v>81</v>
      </c>
      <c r="J46" s="42"/>
    </row>
    <row r="47" spans="1:11" ht="25.5" customHeight="1">
      <c r="A47" s="38"/>
      <c r="B47" s="38"/>
      <c r="C47" s="30" t="s">
        <v>61</v>
      </c>
      <c r="D47" s="30"/>
      <c r="E47" s="13" t="s">
        <v>62</v>
      </c>
      <c r="F47" s="13" t="s">
        <v>62</v>
      </c>
      <c r="G47" s="57">
        <f>SUM(G33+G36+G41+G46)</f>
        <v>64.798000000000002</v>
      </c>
      <c r="H47" s="37"/>
      <c r="I47" s="13" t="s">
        <v>62</v>
      </c>
      <c r="J47" s="45"/>
    </row>
    <row r="48" spans="1:11" ht="18.5">
      <c r="A48" s="38"/>
      <c r="B48" s="38"/>
      <c r="C48" s="30" t="s">
        <v>82</v>
      </c>
      <c r="D48" s="30"/>
      <c r="E48" s="13" t="s">
        <v>62</v>
      </c>
      <c r="F48" s="13" t="s">
        <v>62</v>
      </c>
      <c r="G48" s="66">
        <f>SUM(G31+G47)</f>
        <v>650.82600000000002</v>
      </c>
      <c r="H48" s="39"/>
      <c r="I48" s="46"/>
      <c r="J48" s="47">
        <f>J14+J47+J7</f>
        <v>754.80208333333326</v>
      </c>
    </row>
    <row r="49" spans="1:10" ht="18.5">
      <c r="A49" s="38"/>
      <c r="B49" s="38"/>
      <c r="C49" s="34"/>
      <c r="D49" s="34"/>
      <c r="E49" s="34"/>
      <c r="F49" s="40"/>
      <c r="G49" s="40"/>
      <c r="H49" s="41"/>
      <c r="I49" s="40"/>
      <c r="J49" s="48"/>
    </row>
    <row r="50" spans="1:10" ht="18.5">
      <c r="C50" s="34"/>
      <c r="D50" s="34"/>
      <c r="E50" s="34"/>
      <c r="F50" s="34"/>
      <c r="G50" s="40"/>
      <c r="H50" s="41"/>
      <c r="I50" s="34"/>
      <c r="J50" s="34"/>
    </row>
  </sheetData>
  <sheetProtection formatCells="0" formatColumns="0" formatRows="0" insertColumns="0" insertRows="0"/>
  <mergeCells count="15">
    <mergeCell ref="A46:B46"/>
    <mergeCell ref="C24:C28"/>
    <mergeCell ref="C29:C30"/>
    <mergeCell ref="C32:C33"/>
    <mergeCell ref="C34:C38"/>
    <mergeCell ref="C40:C41"/>
    <mergeCell ref="C42:C45"/>
    <mergeCell ref="C15:C18"/>
    <mergeCell ref="A19:B23"/>
    <mergeCell ref="C19:C21"/>
    <mergeCell ref="A1:J2"/>
    <mergeCell ref="A3:J3"/>
    <mergeCell ref="A5:B5"/>
    <mergeCell ref="C6:C7"/>
    <mergeCell ref="C8:C14"/>
  </mergeCells>
  <printOptions horizontalCentered="1"/>
  <pageMargins left="0.196850393700787" right="0.196850393700787" top="0" bottom="0" header="0.118110236220472" footer="0.118110236220472"/>
  <pageSetup paperSize="9" scale="40" fitToHeight="0" orientation="portrait" verticalDpi="300" r:id="rId1"/>
  <headerFooter alignWithMargins="0">
    <oddHeader>&amp;C&amp;KFFA500&amp;10&amp;"Calibri"Confidential: Internal Use Only</oddHeader>
    <oddFooter>&amp;C&amp;KFFA500&amp;10&amp;"Calibri"Confidential: Internal Use Only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FE6C2-9193-43E8-A33C-88F52B0EB0CA}">
  <sheetPr codeName="Sheet17">
    <pageSetUpPr fitToPage="1"/>
  </sheetPr>
  <dimension ref="A1:K50"/>
  <sheetViews>
    <sheetView showGridLines="0" tabSelected="1" view="pageBreakPreview" topLeftCell="A165" zoomScale="73" zoomScaleNormal="55" zoomScaleSheetLayoutView="73" zoomScalePageLayoutView="10" workbookViewId="0">
      <selection activeCell="A53" sqref="A50:XFD53"/>
    </sheetView>
  </sheetViews>
  <sheetFormatPr defaultColWidth="9" defaultRowHeight="14.5"/>
  <cols>
    <col min="1" max="1" width="15.26953125" customWidth="1"/>
    <col min="2" max="2" width="2.90625" customWidth="1"/>
    <col min="3" max="3" width="18.7265625" customWidth="1"/>
    <col min="4" max="4" width="29.7265625" customWidth="1"/>
    <col min="5" max="5" width="44.08984375" customWidth="1"/>
    <col min="6" max="6" width="22.26953125" customWidth="1"/>
    <col min="7" max="7" width="21" customWidth="1"/>
    <col min="8" max="8" width="23" style="1" customWidth="1"/>
    <col min="9" max="9" width="38.6328125" customWidth="1"/>
    <col min="10" max="10" width="20.36328125" customWidth="1"/>
    <col min="14" max="14" width="8.7265625" customWidth="1"/>
    <col min="15" max="15" width="8.08984375" customWidth="1"/>
    <col min="17" max="17" width="9.26953125" customWidth="1"/>
    <col min="21" max="21" width="9.08984375" customWidth="1"/>
  </cols>
  <sheetData>
    <row r="1" spans="1:10" ht="59.25" customHeight="1">
      <c r="A1" s="75" t="s">
        <v>0</v>
      </c>
      <c r="B1" s="75"/>
      <c r="C1" s="75"/>
      <c r="D1" s="75"/>
      <c r="E1" s="75"/>
      <c r="F1" s="75"/>
      <c r="G1" s="75"/>
      <c r="H1" s="75"/>
      <c r="I1" s="75"/>
      <c r="J1" s="75"/>
    </row>
    <row r="2" spans="1:10" ht="18.75" customHeight="1">
      <c r="A2" s="75"/>
      <c r="B2" s="75"/>
      <c r="C2" s="75"/>
      <c r="D2" s="75"/>
      <c r="E2" s="75"/>
      <c r="F2" s="75"/>
      <c r="G2" s="75"/>
      <c r="H2" s="75"/>
      <c r="I2" s="75"/>
      <c r="J2" s="75"/>
    </row>
    <row r="3" spans="1:10" ht="33" customHeight="1">
      <c r="A3" s="76" t="s">
        <v>242</v>
      </c>
      <c r="B3" s="77"/>
      <c r="C3" s="77"/>
      <c r="D3" s="77"/>
      <c r="E3" s="77"/>
      <c r="F3" s="77"/>
      <c r="G3" s="77"/>
      <c r="H3" s="77"/>
      <c r="I3" s="77"/>
      <c r="J3" s="77"/>
    </row>
    <row r="4" spans="1:10" ht="9.75" customHeight="1">
      <c r="A4" s="2"/>
      <c r="B4" s="2"/>
      <c r="C4" s="2"/>
      <c r="D4" s="2"/>
      <c r="E4" s="2"/>
      <c r="F4" s="2"/>
      <c r="G4" s="2"/>
      <c r="H4" s="3"/>
      <c r="I4" s="2" t="s">
        <v>1</v>
      </c>
      <c r="J4" s="2"/>
    </row>
    <row r="5" spans="1:10" ht="43">
      <c r="A5" s="78" t="s">
        <v>2</v>
      </c>
      <c r="B5" s="79"/>
      <c r="C5" s="4" t="s">
        <v>3</v>
      </c>
      <c r="D5" s="4"/>
      <c r="E5" s="4" t="s">
        <v>4</v>
      </c>
      <c r="F5" s="4" t="s">
        <v>5</v>
      </c>
      <c r="G5" s="4" t="s">
        <v>6</v>
      </c>
      <c r="H5" s="5" t="s">
        <v>7</v>
      </c>
      <c r="I5" s="4" t="s">
        <v>8</v>
      </c>
      <c r="J5" s="18" t="s">
        <v>9</v>
      </c>
    </row>
    <row r="6" spans="1:10" ht="40.5" customHeight="1">
      <c r="A6" s="6"/>
      <c r="B6" s="7"/>
      <c r="C6" s="80" t="s">
        <v>10</v>
      </c>
      <c r="D6" s="8"/>
      <c r="E6" s="9" t="s">
        <v>11</v>
      </c>
      <c r="F6" s="54">
        <v>47</v>
      </c>
      <c r="G6" s="54">
        <v>58.36</v>
      </c>
      <c r="H6" s="55" t="s">
        <v>12</v>
      </c>
      <c r="I6" s="17" t="str">
        <f>IF($G6&gt;0,"STATION ON STREAM",IF(AND($G6=0,$H6&gt;0),"STATION ON STANDBY","STATION ON SHUTDOWN"))</f>
        <v>STATION ON STREAM</v>
      </c>
      <c r="J6" s="56">
        <v>248.29</v>
      </c>
    </row>
    <row r="7" spans="1:10" ht="35.15" customHeight="1">
      <c r="A7" s="6"/>
      <c r="B7" s="7"/>
      <c r="C7" s="81"/>
      <c r="D7" s="12"/>
      <c r="E7" s="13" t="s">
        <v>13</v>
      </c>
      <c r="F7" s="14"/>
      <c r="G7" s="57">
        <f>G6</f>
        <v>58.36</v>
      </c>
      <c r="H7" s="15"/>
      <c r="I7" s="17"/>
      <c r="J7" s="19">
        <f>J6</f>
        <v>248.29</v>
      </c>
    </row>
    <row r="8" spans="1:10" ht="29.25" customHeight="1">
      <c r="A8" s="6"/>
      <c r="B8" s="7"/>
      <c r="C8" s="81"/>
      <c r="D8" s="12"/>
      <c r="E8" s="9" t="s">
        <v>19</v>
      </c>
      <c r="F8" s="10">
        <v>15.63</v>
      </c>
      <c r="G8" s="58">
        <v>27.759</v>
      </c>
      <c r="H8" s="16" t="s">
        <v>207</v>
      </c>
      <c r="I8" s="17" t="str">
        <f>IF($G8&gt;0,"STATION ON STREAM",IF(AND($G8=0,$H9&gt;0),"STATION ON STANDBY","STATION ON SHUTDOWN"))</f>
        <v>STATION ON STREAM</v>
      </c>
      <c r="J8" s="56">
        <v>106.95</v>
      </c>
    </row>
    <row r="9" spans="1:10" ht="35.15" customHeight="1">
      <c r="A9" s="6"/>
      <c r="B9" s="7"/>
      <c r="C9" s="81"/>
      <c r="D9" s="12"/>
      <c r="E9" s="9" t="s">
        <v>20</v>
      </c>
      <c r="F9" s="10">
        <v>8.1300000000000008</v>
      </c>
      <c r="G9" s="58">
        <v>5.89</v>
      </c>
      <c r="H9" s="16" t="s">
        <v>138</v>
      </c>
      <c r="I9" s="17" t="str">
        <f t="shared" ref="I9:I13" si="0">IF($G9&gt;0,"STATION ON STREAM",IF(AND($G9=0,$H9&gt;0),"STATION ON STANDBY","STATION ON SHUTDOWN"))</f>
        <v>STATION ON STREAM</v>
      </c>
      <c r="J9" s="56">
        <v>78.33</v>
      </c>
    </row>
    <row r="10" spans="1:10" ht="35.15" customHeight="1">
      <c r="A10" s="6"/>
      <c r="B10" s="7"/>
      <c r="C10" s="81"/>
      <c r="D10" s="12"/>
      <c r="E10" s="9" t="s">
        <v>22</v>
      </c>
      <c r="F10" s="21">
        <v>10.63</v>
      </c>
      <c r="G10" s="58">
        <v>9.9030000000000005</v>
      </c>
      <c r="H10" s="16" t="s">
        <v>206</v>
      </c>
      <c r="I10" s="17" t="str">
        <f t="shared" si="0"/>
        <v>STATION ON STREAM</v>
      </c>
      <c r="J10" s="56">
        <v>24.59</v>
      </c>
    </row>
    <row r="11" spans="1:10" ht="35.15" customHeight="1">
      <c r="A11" s="6"/>
      <c r="B11" s="7"/>
      <c r="C11" s="81"/>
      <c r="D11" s="12"/>
      <c r="E11" s="9" t="s">
        <v>23</v>
      </c>
      <c r="F11" s="10">
        <v>15.63</v>
      </c>
      <c r="G11" s="58">
        <v>6.6719999999999997</v>
      </c>
      <c r="H11" s="16" t="s">
        <v>143</v>
      </c>
      <c r="I11" s="17" t="str">
        <f t="shared" si="0"/>
        <v>STATION ON STREAM</v>
      </c>
      <c r="J11" s="56">
        <v>20.145833333333332</v>
      </c>
    </row>
    <row r="12" spans="1:10" ht="35.15" customHeight="1">
      <c r="A12" s="6"/>
      <c r="B12" s="7"/>
      <c r="C12" s="81"/>
      <c r="D12" s="12"/>
      <c r="E12" s="9" t="s">
        <v>24</v>
      </c>
      <c r="F12" s="10">
        <v>0</v>
      </c>
      <c r="G12" s="58">
        <v>0</v>
      </c>
      <c r="H12" s="16" t="s">
        <v>199</v>
      </c>
      <c r="I12" s="17" t="str">
        <f t="shared" si="0"/>
        <v>STATION ON STANDBY</v>
      </c>
      <c r="J12" s="56">
        <v>0</v>
      </c>
    </row>
    <row r="13" spans="1:10" ht="35.15" customHeight="1">
      <c r="A13" s="6"/>
      <c r="B13" s="7"/>
      <c r="C13" s="81"/>
      <c r="D13" s="12"/>
      <c r="E13" s="9" t="s">
        <v>25</v>
      </c>
      <c r="F13" s="10">
        <v>63.03</v>
      </c>
      <c r="G13" s="58">
        <v>63.969000000000001</v>
      </c>
      <c r="H13" s="11" t="s">
        <v>208</v>
      </c>
      <c r="I13" s="17" t="str">
        <f t="shared" si="0"/>
        <v>STATION ON STREAM</v>
      </c>
      <c r="J13" s="56">
        <v>269.77999999999997</v>
      </c>
    </row>
    <row r="14" spans="1:10" ht="35.15" customHeight="1">
      <c r="A14" s="6"/>
      <c r="B14" s="7"/>
      <c r="C14" s="81"/>
      <c r="D14" s="12"/>
      <c r="E14" s="13" t="s">
        <v>13</v>
      </c>
      <c r="F14" s="14"/>
      <c r="G14" s="57">
        <f>SUM(G8:G13)</f>
        <v>114.193</v>
      </c>
      <c r="H14" s="15"/>
      <c r="I14" s="17"/>
      <c r="J14" s="19">
        <f>SUM(J8:J13)</f>
        <v>499.79583333333335</v>
      </c>
    </row>
    <row r="15" spans="1:10" ht="35.15" customHeight="1">
      <c r="A15" s="6"/>
      <c r="B15" s="7"/>
      <c r="C15" s="69"/>
      <c r="D15" s="8"/>
      <c r="E15" s="9" t="s">
        <v>27</v>
      </c>
      <c r="F15" s="21"/>
      <c r="G15" s="21">
        <v>45</v>
      </c>
      <c r="H15" s="11" t="s">
        <v>205</v>
      </c>
      <c r="I15" s="17" t="str">
        <f t="shared" ref="I15:I18" si="1">IF($G15&gt;0,"STATION ON STREAM",IF(AND($G15=0,$H15&gt;0),"STATION ON STANDBY","STATION ON SHUTDOWN"))</f>
        <v>STATION ON STREAM</v>
      </c>
      <c r="J15" s="17"/>
    </row>
    <row r="16" spans="1:10" ht="35.15" customHeight="1">
      <c r="A16" s="6"/>
      <c r="B16" s="7"/>
      <c r="C16" s="70"/>
      <c r="D16" s="12"/>
      <c r="E16" s="9" t="s">
        <v>29</v>
      </c>
      <c r="F16" s="21"/>
      <c r="G16" s="58">
        <v>13.75</v>
      </c>
      <c r="H16" s="11" t="s">
        <v>209</v>
      </c>
      <c r="I16" s="17" t="str">
        <f t="shared" si="1"/>
        <v>STATION ON STREAM</v>
      </c>
      <c r="J16" s="17"/>
    </row>
    <row r="17" spans="1:10" ht="35.15" customHeight="1">
      <c r="A17" s="6"/>
      <c r="B17" s="7"/>
      <c r="C17" s="70"/>
      <c r="D17" s="12"/>
      <c r="E17" s="9" t="s">
        <v>31</v>
      </c>
      <c r="F17" s="21"/>
      <c r="G17" s="58">
        <v>7.0999999999999994E-2</v>
      </c>
      <c r="H17" s="11" t="s">
        <v>126</v>
      </c>
      <c r="I17" s="17" t="str">
        <f t="shared" si="1"/>
        <v>STATION ON STREAM</v>
      </c>
      <c r="J17" s="17"/>
    </row>
    <row r="18" spans="1:10" ht="35.15" customHeight="1">
      <c r="A18" s="6"/>
      <c r="B18" s="7"/>
      <c r="C18" s="70"/>
      <c r="D18" s="12"/>
      <c r="E18" s="9" t="s">
        <v>33</v>
      </c>
      <c r="F18" s="21"/>
      <c r="G18" s="58">
        <v>30.506</v>
      </c>
      <c r="H18" s="11" t="s">
        <v>210</v>
      </c>
      <c r="I18" s="17" t="str">
        <f t="shared" si="1"/>
        <v>STATION ON STREAM</v>
      </c>
      <c r="J18" s="17"/>
    </row>
    <row r="19" spans="1:10" ht="34.5" customHeight="1">
      <c r="A19" s="72"/>
      <c r="B19" s="73"/>
      <c r="C19" s="74"/>
      <c r="D19" s="12"/>
      <c r="E19" s="17" t="s">
        <v>47</v>
      </c>
      <c r="F19" s="49"/>
      <c r="G19" s="59">
        <v>0.02</v>
      </c>
      <c r="H19" s="16" t="s">
        <v>141</v>
      </c>
      <c r="I19" s="17" t="str">
        <f t="shared" ref="I19:I20" si="2">IF($G19&gt;0,"STATION ON STREAM",IF(AND($G19=0,$H19&gt;0),"STATION ON STANDBY","STATION ON SHUTDOWN"))</f>
        <v>STATION ON STREAM</v>
      </c>
      <c r="J19" s="17"/>
    </row>
    <row r="20" spans="1:10" ht="34.5" customHeight="1">
      <c r="A20" s="72"/>
      <c r="B20" s="73"/>
      <c r="C20" s="74"/>
      <c r="D20" s="12"/>
      <c r="E20" s="17" t="s">
        <v>49</v>
      </c>
      <c r="F20" s="49"/>
      <c r="G20" s="59">
        <v>1.0999999999999999E-2</v>
      </c>
      <c r="H20" s="16" t="s">
        <v>141</v>
      </c>
      <c r="I20" s="17" t="str">
        <f t="shared" si="2"/>
        <v>STATION ON STREAM</v>
      </c>
      <c r="J20" s="17"/>
    </row>
    <row r="21" spans="1:10" ht="35.15" customHeight="1">
      <c r="A21" s="72"/>
      <c r="B21" s="73"/>
      <c r="C21" s="71"/>
      <c r="D21" s="12"/>
      <c r="E21" s="13" t="s">
        <v>13</v>
      </c>
      <c r="F21" s="14"/>
      <c r="G21" s="60">
        <f>SUM(G15:G20)</f>
        <v>89.35799999999999</v>
      </c>
      <c r="H21" s="20"/>
      <c r="I21" s="17"/>
      <c r="J21" s="17"/>
    </row>
    <row r="22" spans="1:10" ht="35.15" customHeight="1">
      <c r="A22" s="72"/>
      <c r="B22" s="73"/>
      <c r="C22" s="68"/>
      <c r="D22" s="12"/>
      <c r="E22" s="9" t="s">
        <v>50</v>
      </c>
      <c r="F22" s="21"/>
      <c r="G22" s="21">
        <v>1.84</v>
      </c>
      <c r="H22" s="21" t="s">
        <v>12</v>
      </c>
      <c r="I22" s="17" t="str">
        <f>IF($G22&gt;0,"STATION ON STREAM",IF(AND($G22=0,$H22&gt;0),"STATION ON STANDBY","STATION ON SHUTDOWN"))</f>
        <v>STATION ON STREAM</v>
      </c>
      <c r="J22" s="17"/>
    </row>
    <row r="23" spans="1:10" ht="35.15" customHeight="1">
      <c r="A23" s="72"/>
      <c r="B23" s="73"/>
      <c r="C23" s="68"/>
      <c r="D23" s="12"/>
      <c r="E23" s="13" t="s">
        <v>13</v>
      </c>
      <c r="F23" s="14"/>
      <c r="G23" s="61">
        <f>SUM(G22)</f>
        <v>1.84</v>
      </c>
      <c r="H23" s="23"/>
      <c r="I23" s="17"/>
      <c r="J23" s="17"/>
    </row>
    <row r="24" spans="1:10" ht="35.15" customHeight="1">
      <c r="A24" s="6"/>
      <c r="B24" s="24"/>
      <c r="C24" s="84" t="s">
        <v>51</v>
      </c>
      <c r="D24" s="12"/>
      <c r="E24" s="9" t="s">
        <v>52</v>
      </c>
      <c r="F24" s="50">
        <v>44</v>
      </c>
      <c r="G24" s="62">
        <v>44.847000000000001</v>
      </c>
      <c r="H24" s="22">
        <v>33</v>
      </c>
      <c r="I24" s="17" t="str">
        <f t="shared" ref="I24:I27" si="3">IF($G24&gt;0,"STATION ON STREAM",IF(AND($G24=0,$H24&gt;0),"STATION ON STANDBY","STATION ON SHUTDOWN"))</f>
        <v>STATION ON STREAM</v>
      </c>
      <c r="J24" s="17"/>
    </row>
    <row r="25" spans="1:10" ht="35.15" customHeight="1">
      <c r="A25" s="25"/>
      <c r="B25" s="24"/>
      <c r="C25" s="85"/>
      <c r="D25" s="12"/>
      <c r="E25" s="9" t="s">
        <v>53</v>
      </c>
      <c r="F25" s="50">
        <v>1</v>
      </c>
      <c r="G25" s="62">
        <v>0.96799999999999997</v>
      </c>
      <c r="H25" s="22" t="s">
        <v>54</v>
      </c>
      <c r="I25" s="17" t="str">
        <f t="shared" si="3"/>
        <v>STATION ON STREAM</v>
      </c>
      <c r="J25" s="17"/>
    </row>
    <row r="26" spans="1:10" ht="35.15" customHeight="1">
      <c r="A26" s="25"/>
      <c r="B26" s="24"/>
      <c r="C26" s="85"/>
      <c r="D26" s="8"/>
      <c r="E26" s="9" t="s">
        <v>55</v>
      </c>
      <c r="F26" s="50">
        <v>158</v>
      </c>
      <c r="G26" s="62">
        <v>189</v>
      </c>
      <c r="H26" s="22" t="s">
        <v>212</v>
      </c>
      <c r="I26" s="17" t="str">
        <f t="shared" si="3"/>
        <v>STATION ON STREAM</v>
      </c>
      <c r="J26" s="42"/>
    </row>
    <row r="27" spans="1:10" ht="35.15" customHeight="1">
      <c r="A27" s="25"/>
      <c r="B27" s="24"/>
      <c r="C27" s="86"/>
      <c r="D27" s="12"/>
      <c r="E27" s="9" t="s">
        <v>57</v>
      </c>
      <c r="F27" s="50">
        <v>0.3</v>
      </c>
      <c r="G27" s="62">
        <v>0.29499999999999998</v>
      </c>
      <c r="H27" s="22" t="s">
        <v>58</v>
      </c>
      <c r="I27" s="17" t="str">
        <f t="shared" si="3"/>
        <v>STATION ON STREAM</v>
      </c>
      <c r="J27" s="21">
        <v>0</v>
      </c>
    </row>
    <row r="28" spans="1:10" ht="35.15" customHeight="1">
      <c r="A28" s="25"/>
      <c r="B28" s="24"/>
      <c r="C28" s="87"/>
      <c r="D28" s="8"/>
      <c r="E28" s="13" t="s">
        <v>13</v>
      </c>
      <c r="F28" s="26"/>
      <c r="G28" s="57">
        <f>SUM(G24+G25+G26+G27)</f>
        <v>235.10999999999999</v>
      </c>
      <c r="H28" s="15"/>
      <c r="I28" s="17"/>
      <c r="J28" s="21"/>
    </row>
    <row r="29" spans="1:10" ht="35.15" customHeight="1">
      <c r="A29" s="25"/>
      <c r="B29" s="24"/>
      <c r="C29" s="84" t="s">
        <v>59</v>
      </c>
      <c r="D29" s="12"/>
      <c r="E29" s="9" t="s">
        <v>60</v>
      </c>
      <c r="F29" s="21">
        <v>96</v>
      </c>
      <c r="G29" s="58">
        <v>119.11499999999999</v>
      </c>
      <c r="H29" s="11">
        <v>35</v>
      </c>
      <c r="I29" s="17" t="str">
        <f>IF($G29&gt;0,"STATION ON STREAM",IF(AND($G29=0,$H29&gt;0),"STATION ON STANDBY","STATION ON SHUTDOWN"))</f>
        <v>STATION ON STREAM</v>
      </c>
      <c r="J29" s="21">
        <f>G35*4</f>
        <v>0</v>
      </c>
    </row>
    <row r="30" spans="1:10" ht="35.15" customHeight="1">
      <c r="A30" s="28"/>
      <c r="B30" s="29"/>
      <c r="C30" s="87"/>
      <c r="D30" s="12"/>
      <c r="E30" s="13" t="s">
        <v>13</v>
      </c>
      <c r="F30" s="14"/>
      <c r="G30" s="63">
        <f>SUM(G29)</f>
        <v>119.11499999999999</v>
      </c>
      <c r="H30" s="27"/>
      <c r="I30" s="17"/>
      <c r="J30" s="17"/>
    </row>
    <row r="31" spans="1:10" ht="35.15" customHeight="1">
      <c r="A31" s="25"/>
      <c r="B31" s="24"/>
      <c r="C31" s="30" t="s">
        <v>61</v>
      </c>
      <c r="D31" s="30"/>
      <c r="E31" s="13" t="s">
        <v>62</v>
      </c>
      <c r="F31" s="13"/>
      <c r="G31" s="66">
        <f>SUM(G7+G14+G21+G23+G28+G30)</f>
        <v>617.976</v>
      </c>
      <c r="H31" s="27"/>
      <c r="I31" s="17"/>
      <c r="J31" s="17"/>
    </row>
    <row r="32" spans="1:10" ht="34.5" customHeight="1">
      <c r="A32" s="32"/>
      <c r="B32" s="24"/>
      <c r="C32" s="84" t="s">
        <v>63</v>
      </c>
      <c r="D32" s="12"/>
      <c r="E32" s="9" t="s">
        <v>64</v>
      </c>
      <c r="F32" s="9"/>
      <c r="G32" s="67">
        <v>57.485999999999997</v>
      </c>
      <c r="H32" s="31" t="s">
        <v>65</v>
      </c>
      <c r="I32" s="17" t="str">
        <f>IF($G32&gt;0,"STATION ON STREAM",IF(AND($G32=0,$H32&gt;0),"STATION ON STANDBY","STATION ON SHUTDOWN"))</f>
        <v>STATION ON STREAM</v>
      </c>
      <c r="J32" s="17"/>
    </row>
    <row r="33" spans="1:11" ht="35.15" customHeight="1">
      <c r="A33" s="25"/>
      <c r="B33" s="24"/>
      <c r="C33" s="88"/>
      <c r="D33" s="8"/>
      <c r="E33" s="13" t="s">
        <v>13</v>
      </c>
      <c r="F33" s="14"/>
      <c r="G33" s="57">
        <f>SUM(G32)</f>
        <v>57.485999999999997</v>
      </c>
      <c r="H33" s="27"/>
      <c r="I33" s="17"/>
      <c r="J33" s="17"/>
    </row>
    <row r="34" spans="1:11" ht="35.15" customHeight="1">
      <c r="A34" s="25"/>
      <c r="B34" s="24"/>
      <c r="C34" s="84" t="s">
        <v>14</v>
      </c>
      <c r="D34" s="8"/>
      <c r="E34" s="9" t="s">
        <v>66</v>
      </c>
      <c r="F34" s="9"/>
      <c r="G34" s="9">
        <v>13.045</v>
      </c>
      <c r="H34" s="31" t="s">
        <v>67</v>
      </c>
      <c r="I34" s="17" t="str">
        <f>IF($G34&gt;0,"STATION ON STREAM",IF(AND($G34=0,$H34&gt;0),"STATION ON STANDBY","STATION ON SHUTDOWN"))</f>
        <v>STATION ON STREAM</v>
      </c>
      <c r="J34" s="17"/>
    </row>
    <row r="35" spans="1:11" ht="35.15" customHeight="1">
      <c r="A35" s="25"/>
      <c r="B35" s="24"/>
      <c r="C35" s="85"/>
      <c r="D35" s="12"/>
      <c r="E35" s="9" t="s">
        <v>68</v>
      </c>
      <c r="F35" s="9"/>
      <c r="G35" s="65">
        <v>0</v>
      </c>
      <c r="H35" s="31" t="s">
        <v>65</v>
      </c>
      <c r="I35" s="17" t="str">
        <f>IF($G35&gt;0,"STATION ON STREAM",IF(AND($G35=0,$H35&gt;0),"STATION ON STANDBY","STATION ON SHUTDOWN"))</f>
        <v>STATION ON STANDBY</v>
      </c>
      <c r="J35" s="17"/>
    </row>
    <row r="36" spans="1:11" ht="35.25" customHeight="1">
      <c r="A36" s="25"/>
      <c r="B36" s="24"/>
      <c r="C36" s="85"/>
      <c r="D36" s="12"/>
      <c r="E36" s="13" t="s">
        <v>13</v>
      </c>
      <c r="F36" s="14"/>
      <c r="G36" s="57">
        <f>SUM(G34:G35)</f>
        <v>13.045</v>
      </c>
      <c r="H36" s="27"/>
      <c r="I36" s="17"/>
      <c r="J36" s="17"/>
    </row>
    <row r="37" spans="1:11" ht="35.15" customHeight="1">
      <c r="A37" s="25"/>
      <c r="B37" s="24"/>
      <c r="C37" s="85"/>
      <c r="D37" s="12"/>
      <c r="E37" s="9" t="s">
        <v>69</v>
      </c>
      <c r="F37" s="9"/>
      <c r="G37" s="64">
        <v>0</v>
      </c>
      <c r="H37" s="31" t="s">
        <v>65</v>
      </c>
      <c r="I37" s="17" t="str">
        <f>IF($G37&gt;0,"STATION ON STREAM",IF(AND($G37=0,$H37&gt;0),"STATION ON STANDBY","STATION ON SHUTDOWN"))</f>
        <v>STATION ON STANDBY</v>
      </c>
      <c r="J37" s="17"/>
    </row>
    <row r="38" spans="1:11" ht="35.15" customHeight="1">
      <c r="A38" s="33" t="s">
        <v>70</v>
      </c>
      <c r="B38" s="24"/>
      <c r="C38" s="87"/>
      <c r="D38" s="12"/>
      <c r="E38" s="9" t="s">
        <v>71</v>
      </c>
      <c r="F38" s="9"/>
      <c r="G38" s="51">
        <v>0</v>
      </c>
      <c r="H38" s="31" t="s">
        <v>136</v>
      </c>
      <c r="I38" s="17" t="str">
        <f>IF($G38&gt;0,"STATION ON STREAM",IF(AND($G38=0,$H38&gt;0),"STATION ON STANDBY","STATION ON SHUTDOWN"))</f>
        <v>STATION ON STANDBY</v>
      </c>
      <c r="J38" s="17"/>
    </row>
    <row r="39" spans="1:11" ht="35.15" customHeight="1">
      <c r="A39" s="25"/>
      <c r="B39" s="24"/>
      <c r="C39" s="68"/>
      <c r="D39" s="12"/>
      <c r="E39" s="9" t="s">
        <v>72</v>
      </c>
      <c r="F39" s="9"/>
      <c r="G39" s="64">
        <v>0</v>
      </c>
      <c r="H39" s="31" t="s">
        <v>73</v>
      </c>
      <c r="I39" s="17" t="str">
        <f>IF($G39&gt;0,"STATION ON STREAM",IF(AND($G39=0,$H39&gt;0),"STATION ON STANDBY","STATION ON SHUTDOWN"))</f>
        <v>STATION ON STANDBY</v>
      </c>
      <c r="J39" s="17"/>
    </row>
    <row r="40" spans="1:11" ht="35.15" customHeight="1">
      <c r="A40" s="25"/>
      <c r="B40" s="24"/>
      <c r="C40" s="84" t="s">
        <v>74</v>
      </c>
      <c r="D40" s="8"/>
      <c r="E40" s="9" t="s">
        <v>75</v>
      </c>
      <c r="F40" s="9"/>
      <c r="G40" s="64">
        <v>1.5309999999999999</v>
      </c>
      <c r="H40" s="31" t="s">
        <v>97</v>
      </c>
      <c r="I40" s="17" t="str">
        <f>IF($G40&gt;0,"STATION ON STREAM",IF(AND($G40=0,$H40&gt;0),"STATION ON STANDBY","STATION ON SHUTDOWN"))</f>
        <v>STATION ON STREAM</v>
      </c>
      <c r="J40" s="17"/>
      <c r="K40" s="43"/>
    </row>
    <row r="41" spans="1:11" ht="35.15" customHeight="1">
      <c r="A41" s="25"/>
      <c r="B41" s="24"/>
      <c r="C41" s="88"/>
      <c r="D41" s="8"/>
      <c r="E41" s="13" t="s">
        <v>13</v>
      </c>
      <c r="F41" s="14"/>
      <c r="G41" s="57">
        <f>SUM(G37:G40)</f>
        <v>1.5309999999999999</v>
      </c>
      <c r="H41" s="27"/>
      <c r="I41" s="17"/>
      <c r="J41" s="17"/>
      <c r="K41" s="44"/>
    </row>
    <row r="42" spans="1:11" ht="35.15" customHeight="1">
      <c r="A42" s="32"/>
      <c r="B42" s="24"/>
      <c r="C42" s="69" t="s">
        <v>51</v>
      </c>
      <c r="D42" s="8"/>
      <c r="E42" s="9" t="s">
        <v>77</v>
      </c>
      <c r="F42" s="9"/>
      <c r="G42" s="52">
        <v>1.5840000000000001</v>
      </c>
      <c r="H42" s="35">
        <v>44</v>
      </c>
      <c r="I42" s="17" t="str">
        <f t="shared" ref="I42:I43" si="4">IF($G42&gt;0,"STATION ON STREAM",IF(AND($G42=0,$H42&gt;0),"STATION ON STANDBY","STATION ON SHUTDOWN"))</f>
        <v>STATION ON STREAM</v>
      </c>
      <c r="J42" s="42"/>
    </row>
    <row r="43" spans="1:11" ht="35.15" customHeight="1">
      <c r="A43" s="32"/>
      <c r="B43" s="24"/>
      <c r="C43" s="89"/>
      <c r="D43" s="8"/>
      <c r="E43" s="9" t="s">
        <v>78</v>
      </c>
      <c r="F43" s="9"/>
      <c r="G43" s="53">
        <v>0</v>
      </c>
      <c r="H43" s="35">
        <v>0</v>
      </c>
      <c r="I43" s="17" t="str">
        <f t="shared" si="4"/>
        <v>STATION ON SHUTDOWN</v>
      </c>
      <c r="J43" s="17"/>
    </row>
    <row r="44" spans="1:11" ht="35.15" customHeight="1">
      <c r="A44" s="36"/>
      <c r="B44" s="36"/>
      <c r="C44" s="89"/>
      <c r="D44" s="8"/>
      <c r="E44" s="9" t="s">
        <v>79</v>
      </c>
      <c r="F44" s="9"/>
      <c r="G44" s="53">
        <v>2.2400000000000002</v>
      </c>
      <c r="H44" s="35">
        <v>15</v>
      </c>
      <c r="I44" s="17" t="str">
        <f>IF($G45&gt;0,"STATION ON STREAM",IF(AND($G45=0,$H44&gt;0),"STATION ON STANDBY","STATION ON SHUTDOWN"))</f>
        <v>STATION ON STANDBY</v>
      </c>
      <c r="J44" s="42"/>
    </row>
    <row r="45" spans="1:11" ht="26.25" customHeight="1">
      <c r="A45" s="36"/>
      <c r="B45" s="36"/>
      <c r="C45" s="90"/>
      <c r="D45" s="8"/>
      <c r="E45" s="9" t="s">
        <v>80</v>
      </c>
      <c r="F45" s="9"/>
      <c r="G45" s="51">
        <v>0</v>
      </c>
      <c r="H45" s="35">
        <v>35</v>
      </c>
      <c r="I45" s="17" t="str">
        <f>IF($G45&gt;0,"STATION ON STREAM",IF(AND($G45=0,$H45&gt;0),"STATION ON STANDBY","STATION ON SHUTDOWN"))</f>
        <v>STATION ON STANDBY</v>
      </c>
      <c r="J45" s="42"/>
    </row>
    <row r="46" spans="1:11" ht="21" customHeight="1">
      <c r="A46" s="82"/>
      <c r="B46" s="83"/>
      <c r="C46" s="30"/>
      <c r="D46" s="12"/>
      <c r="E46" s="13" t="s">
        <v>13</v>
      </c>
      <c r="F46" s="14" t="s">
        <v>62</v>
      </c>
      <c r="G46" s="57">
        <f>SUM(G42:G45)</f>
        <v>3.8240000000000003</v>
      </c>
      <c r="H46" s="37"/>
      <c r="I46" s="14" t="s">
        <v>81</v>
      </c>
      <c r="J46" s="42"/>
    </row>
    <row r="47" spans="1:11" ht="25.5" customHeight="1">
      <c r="A47" s="38"/>
      <c r="B47" s="38"/>
      <c r="C47" s="30" t="s">
        <v>61</v>
      </c>
      <c r="D47" s="30"/>
      <c r="E47" s="13" t="s">
        <v>62</v>
      </c>
      <c r="F47" s="13" t="s">
        <v>62</v>
      </c>
      <c r="G47" s="57">
        <f>SUM(G33+G36+G41+G46)</f>
        <v>75.885999999999996</v>
      </c>
      <c r="H47" s="37"/>
      <c r="I47" s="13" t="s">
        <v>62</v>
      </c>
      <c r="J47" s="45"/>
    </row>
    <row r="48" spans="1:11" ht="18.5">
      <c r="A48" s="38"/>
      <c r="B48" s="38"/>
      <c r="C48" s="30" t="s">
        <v>82</v>
      </c>
      <c r="D48" s="30"/>
      <c r="E48" s="13" t="s">
        <v>62</v>
      </c>
      <c r="F48" s="13" t="s">
        <v>62</v>
      </c>
      <c r="G48" s="66">
        <f>SUM(G31+G47)</f>
        <v>693.86199999999997</v>
      </c>
      <c r="H48" s="39"/>
      <c r="I48" s="46"/>
      <c r="J48" s="47">
        <f>J14+J47+J7</f>
        <v>748.08583333333331</v>
      </c>
    </row>
    <row r="49" spans="1:10" ht="18.5">
      <c r="A49" s="38"/>
      <c r="B49" s="38"/>
      <c r="C49" s="34"/>
      <c r="D49" s="34"/>
      <c r="E49" s="34"/>
      <c r="F49" s="40"/>
      <c r="G49" s="40"/>
      <c r="H49" s="41"/>
      <c r="I49" s="40"/>
      <c r="J49" s="48"/>
    </row>
    <row r="50" spans="1:10" ht="18.5">
      <c r="C50" s="34"/>
      <c r="D50" s="34"/>
      <c r="E50" s="34"/>
      <c r="F50" s="34"/>
      <c r="G50" s="40"/>
      <c r="H50" s="41"/>
      <c r="I50" s="34"/>
      <c r="J50" s="34"/>
    </row>
  </sheetData>
  <sheetProtection formatCells="0" formatColumns="0" formatRows="0" insertColumns="0" insertRows="0"/>
  <mergeCells count="15">
    <mergeCell ref="A46:B46"/>
    <mergeCell ref="C24:C28"/>
    <mergeCell ref="C29:C30"/>
    <mergeCell ref="C32:C33"/>
    <mergeCell ref="C34:C38"/>
    <mergeCell ref="C40:C41"/>
    <mergeCell ref="C42:C45"/>
    <mergeCell ref="C15:C18"/>
    <mergeCell ref="A19:B23"/>
    <mergeCell ref="C19:C21"/>
    <mergeCell ref="A1:J2"/>
    <mergeCell ref="A3:J3"/>
    <mergeCell ref="A5:B5"/>
    <mergeCell ref="C6:C7"/>
    <mergeCell ref="C8:C14"/>
  </mergeCells>
  <printOptions horizontalCentered="1"/>
  <pageMargins left="0.196850393700787" right="0.196850393700787" top="0" bottom="0" header="0.118110236220472" footer="0.118110236220472"/>
  <pageSetup paperSize="9" scale="40" fitToHeight="0" orientation="portrait" verticalDpi="300" r:id="rId1"/>
  <headerFooter alignWithMargins="0">
    <oddHeader>&amp;C&amp;KFFA500&amp;10&amp;"Calibri"Confidential: Internal Use Only</oddHeader>
    <oddFooter>&amp;C&amp;KFFA500&amp;10&amp;"Calibri"Confidential: Internal Use Only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2897B-CA28-452B-8A9A-236AB7421E2C}">
  <sheetPr codeName="Sheet18">
    <pageSetUpPr fitToPage="1"/>
  </sheetPr>
  <dimension ref="A1:K50"/>
  <sheetViews>
    <sheetView showGridLines="0" tabSelected="1" view="pageBreakPreview" topLeftCell="A175" zoomScale="73" zoomScaleNormal="55" zoomScaleSheetLayoutView="73" zoomScalePageLayoutView="10" workbookViewId="0">
      <selection activeCell="A53" sqref="A50:XFD53"/>
    </sheetView>
  </sheetViews>
  <sheetFormatPr defaultColWidth="9" defaultRowHeight="14.5"/>
  <cols>
    <col min="1" max="1" width="15.26953125" customWidth="1"/>
    <col min="2" max="2" width="2.90625" customWidth="1"/>
    <col min="3" max="3" width="18.7265625" customWidth="1"/>
    <col min="4" max="4" width="29.7265625" customWidth="1"/>
    <col min="5" max="5" width="44.08984375" customWidth="1"/>
    <col min="6" max="6" width="22.26953125" customWidth="1"/>
    <col min="7" max="7" width="21" customWidth="1"/>
    <col min="8" max="8" width="23" style="1" customWidth="1"/>
    <col min="9" max="9" width="38.6328125" customWidth="1"/>
    <col min="10" max="10" width="20.36328125" customWidth="1"/>
    <col min="14" max="14" width="8.7265625" customWidth="1"/>
    <col min="15" max="15" width="8.08984375" customWidth="1"/>
    <col min="17" max="17" width="9.26953125" customWidth="1"/>
    <col min="21" max="21" width="9.08984375" customWidth="1"/>
  </cols>
  <sheetData>
    <row r="1" spans="1:10" ht="59.25" customHeight="1">
      <c r="A1" s="75" t="s">
        <v>0</v>
      </c>
      <c r="B1" s="75"/>
      <c r="C1" s="75"/>
      <c r="D1" s="75"/>
      <c r="E1" s="75"/>
      <c r="F1" s="75"/>
      <c r="G1" s="75"/>
      <c r="H1" s="75"/>
      <c r="I1" s="75"/>
      <c r="J1" s="75"/>
    </row>
    <row r="2" spans="1:10" ht="18.75" customHeight="1">
      <c r="A2" s="75"/>
      <c r="B2" s="75"/>
      <c r="C2" s="75"/>
      <c r="D2" s="75"/>
      <c r="E2" s="75"/>
      <c r="F2" s="75"/>
      <c r="G2" s="75"/>
      <c r="H2" s="75"/>
      <c r="I2" s="75"/>
      <c r="J2" s="75"/>
    </row>
    <row r="3" spans="1:10" ht="33" customHeight="1">
      <c r="A3" s="76" t="s">
        <v>242</v>
      </c>
      <c r="B3" s="77"/>
      <c r="C3" s="77"/>
      <c r="D3" s="77"/>
      <c r="E3" s="77"/>
      <c r="F3" s="77"/>
      <c r="G3" s="77"/>
      <c r="H3" s="77"/>
      <c r="I3" s="77"/>
      <c r="J3" s="77"/>
    </row>
    <row r="4" spans="1:10" ht="9.75" customHeight="1">
      <c r="A4" s="2"/>
      <c r="B4" s="2"/>
      <c r="C4" s="2"/>
      <c r="D4" s="2"/>
      <c r="E4" s="2"/>
      <c r="F4" s="2"/>
      <c r="G4" s="2"/>
      <c r="H4" s="3"/>
      <c r="I4" s="2" t="s">
        <v>1</v>
      </c>
      <c r="J4" s="2"/>
    </row>
    <row r="5" spans="1:10" ht="43">
      <c r="A5" s="78" t="s">
        <v>2</v>
      </c>
      <c r="B5" s="79"/>
      <c r="C5" s="4" t="s">
        <v>3</v>
      </c>
      <c r="D5" s="4"/>
      <c r="E5" s="4" t="s">
        <v>4</v>
      </c>
      <c r="F5" s="4" t="s">
        <v>5</v>
      </c>
      <c r="G5" s="4" t="s">
        <v>6</v>
      </c>
      <c r="H5" s="5" t="s">
        <v>7</v>
      </c>
      <c r="I5" s="4" t="s">
        <v>8</v>
      </c>
      <c r="J5" s="18" t="s">
        <v>9</v>
      </c>
    </row>
    <row r="6" spans="1:10" ht="40.5" customHeight="1">
      <c r="A6" s="6"/>
      <c r="B6" s="7"/>
      <c r="C6" s="80" t="s">
        <v>10</v>
      </c>
      <c r="D6" s="8"/>
      <c r="E6" s="9" t="s">
        <v>11</v>
      </c>
      <c r="F6" s="54">
        <v>47.2</v>
      </c>
      <c r="G6" s="54">
        <v>46.911999999999992</v>
      </c>
      <c r="H6" s="55" t="s">
        <v>12</v>
      </c>
      <c r="I6" s="17" t="str">
        <f>IF($G6&gt;0,"STATION ON STREAM",IF(AND($G6=0,$H6&gt;0),"STATION ON STANDBY","STATION ON SHUTDOWN"))</f>
        <v>STATION ON STREAM</v>
      </c>
      <c r="J6" s="56">
        <v>204.04</v>
      </c>
    </row>
    <row r="7" spans="1:10" ht="35.15" customHeight="1">
      <c r="A7" s="6"/>
      <c r="B7" s="7"/>
      <c r="C7" s="81"/>
      <c r="D7" s="12"/>
      <c r="E7" s="13" t="s">
        <v>13</v>
      </c>
      <c r="F7" s="14"/>
      <c r="G7" s="57">
        <f>G6</f>
        <v>46.911999999999992</v>
      </c>
      <c r="H7" s="15"/>
      <c r="I7" s="17"/>
      <c r="J7" s="19">
        <f>J6</f>
        <v>204.04</v>
      </c>
    </row>
    <row r="8" spans="1:10" ht="29.25" customHeight="1">
      <c r="A8" s="6"/>
      <c r="B8" s="7"/>
      <c r="C8" s="81"/>
      <c r="D8" s="12"/>
      <c r="E8" s="9" t="s">
        <v>19</v>
      </c>
      <c r="F8" s="10">
        <v>25</v>
      </c>
      <c r="G8" s="58">
        <v>27.187000000000001</v>
      </c>
      <c r="H8" s="16" t="s">
        <v>214</v>
      </c>
      <c r="I8" s="17" t="str">
        <f>IF($G8&gt;0,"STATION ON STREAM",IF(AND($G8=0,$H9&gt;0),"STATION ON STANDBY","STATION ON SHUTDOWN"))</f>
        <v>STATION ON STREAM</v>
      </c>
      <c r="J8" s="56">
        <v>104.29</v>
      </c>
    </row>
    <row r="9" spans="1:10" ht="35.15" customHeight="1">
      <c r="A9" s="6"/>
      <c r="B9" s="7"/>
      <c r="C9" s="81"/>
      <c r="D9" s="12"/>
      <c r="E9" s="9" t="s">
        <v>20</v>
      </c>
      <c r="F9" s="10">
        <v>13</v>
      </c>
      <c r="G9" s="58">
        <v>7.78</v>
      </c>
      <c r="H9" s="16" t="s">
        <v>102</v>
      </c>
      <c r="I9" s="17" t="str">
        <f t="shared" ref="I9:I13" si="0">IF($G9&gt;0,"STATION ON STREAM",IF(AND($G9=0,$H9&gt;0),"STATION ON STANDBY","STATION ON SHUTDOWN"))</f>
        <v>STATION ON STREAM</v>
      </c>
      <c r="J9" s="56">
        <v>88</v>
      </c>
    </row>
    <row r="10" spans="1:10" ht="35.15" customHeight="1">
      <c r="A10" s="6"/>
      <c r="B10" s="7"/>
      <c r="C10" s="81"/>
      <c r="D10" s="12"/>
      <c r="E10" s="9" t="s">
        <v>22</v>
      </c>
      <c r="F10" s="21">
        <v>17</v>
      </c>
      <c r="G10" s="58">
        <v>6.9240000000000004</v>
      </c>
      <c r="H10" s="16" t="s">
        <v>100</v>
      </c>
      <c r="I10" s="17" t="str">
        <f t="shared" si="0"/>
        <v>STATION ON STREAM</v>
      </c>
      <c r="J10" s="56">
        <v>24.67</v>
      </c>
    </row>
    <row r="11" spans="1:10" ht="35.15" customHeight="1">
      <c r="A11" s="6"/>
      <c r="B11" s="7"/>
      <c r="C11" s="81"/>
      <c r="D11" s="12"/>
      <c r="E11" s="9" t="s">
        <v>23</v>
      </c>
      <c r="F11" s="10">
        <v>25</v>
      </c>
      <c r="G11" s="58">
        <v>13.938000000000001</v>
      </c>
      <c r="H11" s="16" t="s">
        <v>213</v>
      </c>
      <c r="I11" s="17" t="str">
        <f t="shared" si="0"/>
        <v>STATION ON STREAM</v>
      </c>
      <c r="J11" s="56">
        <v>44.40625</v>
      </c>
    </row>
    <row r="12" spans="1:10" ht="35.15" customHeight="1">
      <c r="A12" s="6"/>
      <c r="B12" s="7"/>
      <c r="C12" s="81"/>
      <c r="D12" s="12"/>
      <c r="E12" s="9" t="s">
        <v>24</v>
      </c>
      <c r="F12" s="10">
        <v>0</v>
      </c>
      <c r="G12" s="58">
        <v>0</v>
      </c>
      <c r="H12" s="16" t="s">
        <v>215</v>
      </c>
      <c r="I12" s="17" t="str">
        <f t="shared" si="0"/>
        <v>STATION ON STANDBY</v>
      </c>
      <c r="J12" s="56">
        <v>0</v>
      </c>
    </row>
    <row r="13" spans="1:10" ht="35.15" customHeight="1">
      <c r="A13" s="6"/>
      <c r="B13" s="7"/>
      <c r="C13" s="81"/>
      <c r="D13" s="12"/>
      <c r="E13" s="9" t="s">
        <v>25</v>
      </c>
      <c r="F13" s="10">
        <v>63.03</v>
      </c>
      <c r="G13" s="58">
        <v>62.802999999999997</v>
      </c>
      <c r="H13" s="11" t="s">
        <v>150</v>
      </c>
      <c r="I13" s="17" t="str">
        <f t="shared" si="0"/>
        <v>STATION ON STREAM</v>
      </c>
      <c r="J13" s="56">
        <v>265.66000000000003</v>
      </c>
    </row>
    <row r="14" spans="1:10" ht="35.15" customHeight="1">
      <c r="A14" s="6"/>
      <c r="B14" s="7"/>
      <c r="C14" s="81"/>
      <c r="D14" s="12"/>
      <c r="E14" s="13" t="s">
        <v>13</v>
      </c>
      <c r="F14" s="14"/>
      <c r="G14" s="57">
        <f>SUM(G8:G13)</f>
        <v>118.63200000000001</v>
      </c>
      <c r="H14" s="15"/>
      <c r="I14" s="17"/>
      <c r="J14" s="19">
        <f>SUM(J8:J13)</f>
        <v>527.02625000000012</v>
      </c>
    </row>
    <row r="15" spans="1:10" ht="35.15" customHeight="1">
      <c r="A15" s="6"/>
      <c r="B15" s="7"/>
      <c r="C15" s="69"/>
      <c r="D15" s="8"/>
      <c r="E15" s="9" t="s">
        <v>27</v>
      </c>
      <c r="F15" s="21"/>
      <c r="G15" s="21">
        <v>45</v>
      </c>
      <c r="H15" s="11" t="s">
        <v>110</v>
      </c>
      <c r="I15" s="17" t="str">
        <f t="shared" ref="I15:I18" si="1">IF($G15&gt;0,"STATION ON STREAM",IF(AND($G15=0,$H15&gt;0),"STATION ON STANDBY","STATION ON SHUTDOWN"))</f>
        <v>STATION ON STREAM</v>
      </c>
      <c r="J15" s="17"/>
    </row>
    <row r="16" spans="1:10" ht="35.15" customHeight="1">
      <c r="A16" s="6"/>
      <c r="B16" s="7"/>
      <c r="C16" s="70"/>
      <c r="D16" s="12"/>
      <c r="E16" s="9" t="s">
        <v>29</v>
      </c>
      <c r="F16" s="21"/>
      <c r="G16" s="58">
        <v>11.849</v>
      </c>
      <c r="H16" s="11" t="s">
        <v>216</v>
      </c>
      <c r="I16" s="17" t="str">
        <f t="shared" si="1"/>
        <v>STATION ON STREAM</v>
      </c>
      <c r="J16" s="17"/>
    </row>
    <row r="17" spans="1:10" ht="35.15" customHeight="1">
      <c r="A17" s="6"/>
      <c r="B17" s="7"/>
      <c r="C17" s="70"/>
      <c r="D17" s="12"/>
      <c r="E17" s="9" t="s">
        <v>31</v>
      </c>
      <c r="F17" s="21"/>
      <c r="G17" s="58">
        <v>2.4E-2</v>
      </c>
      <c r="H17" s="11" t="s">
        <v>121</v>
      </c>
      <c r="I17" s="17" t="str">
        <f t="shared" si="1"/>
        <v>STATION ON STREAM</v>
      </c>
      <c r="J17" s="17"/>
    </row>
    <row r="18" spans="1:10" ht="35.15" customHeight="1">
      <c r="A18" s="6"/>
      <c r="B18" s="7"/>
      <c r="C18" s="70"/>
      <c r="D18" s="12"/>
      <c r="E18" s="9" t="s">
        <v>33</v>
      </c>
      <c r="F18" s="21"/>
      <c r="G18" s="58">
        <v>29.564</v>
      </c>
      <c r="H18" s="11" t="s">
        <v>122</v>
      </c>
      <c r="I18" s="17" t="str">
        <f t="shared" si="1"/>
        <v>STATION ON STREAM</v>
      </c>
      <c r="J18" s="17"/>
    </row>
    <row r="19" spans="1:10" ht="34.5" customHeight="1">
      <c r="A19" s="72"/>
      <c r="B19" s="73"/>
      <c r="C19" s="74"/>
      <c r="D19" s="12"/>
      <c r="E19" s="17" t="s">
        <v>47</v>
      </c>
      <c r="F19" s="49"/>
      <c r="G19" s="59">
        <v>0</v>
      </c>
      <c r="H19" s="16" t="s">
        <v>95</v>
      </c>
      <c r="I19" s="17" t="str">
        <f t="shared" ref="I19:I20" si="2">IF($G19&gt;0,"STATION ON STREAM",IF(AND($G19=0,$H19&gt;0),"STATION ON STANDBY","STATION ON SHUTDOWN"))</f>
        <v>STATION ON STANDBY</v>
      </c>
      <c r="J19" s="17"/>
    </row>
    <row r="20" spans="1:10" ht="34.5" customHeight="1">
      <c r="A20" s="72"/>
      <c r="B20" s="73"/>
      <c r="C20" s="74"/>
      <c r="D20" s="12"/>
      <c r="E20" s="17" t="s">
        <v>49</v>
      </c>
      <c r="F20" s="49"/>
      <c r="G20" s="59">
        <v>5.0000000000000001E-3</v>
      </c>
      <c r="H20" s="16" t="s">
        <v>108</v>
      </c>
      <c r="I20" s="17" t="str">
        <f t="shared" si="2"/>
        <v>STATION ON STREAM</v>
      </c>
      <c r="J20" s="17"/>
    </row>
    <row r="21" spans="1:10" ht="35.15" customHeight="1">
      <c r="A21" s="72"/>
      <c r="B21" s="73"/>
      <c r="C21" s="71"/>
      <c r="D21" s="12"/>
      <c r="E21" s="13" t="s">
        <v>13</v>
      </c>
      <c r="F21" s="14"/>
      <c r="G21" s="60">
        <f>SUM(G15:G20)</f>
        <v>86.442000000000007</v>
      </c>
      <c r="H21" s="20"/>
      <c r="I21" s="17"/>
      <c r="J21" s="17"/>
    </row>
    <row r="22" spans="1:10" ht="35.15" customHeight="1">
      <c r="A22" s="72"/>
      <c r="B22" s="73"/>
      <c r="C22" s="68"/>
      <c r="D22" s="12"/>
      <c r="E22" s="9" t="s">
        <v>50</v>
      </c>
      <c r="F22" s="21"/>
      <c r="G22" s="21">
        <v>1.85</v>
      </c>
      <c r="H22" s="21" t="s">
        <v>12</v>
      </c>
      <c r="I22" s="17" t="str">
        <f>IF($G22&gt;0,"STATION ON STREAM",IF(AND($G22=0,$H22&gt;0),"STATION ON STANDBY","STATION ON SHUTDOWN"))</f>
        <v>STATION ON STREAM</v>
      </c>
      <c r="J22" s="17"/>
    </row>
    <row r="23" spans="1:10" ht="35.15" customHeight="1">
      <c r="A23" s="72"/>
      <c r="B23" s="73"/>
      <c r="C23" s="68"/>
      <c r="D23" s="12"/>
      <c r="E23" s="13" t="s">
        <v>13</v>
      </c>
      <c r="F23" s="14"/>
      <c r="G23" s="61">
        <f>SUM(G22)</f>
        <v>1.85</v>
      </c>
      <c r="H23" s="23"/>
      <c r="I23" s="17"/>
      <c r="J23" s="17"/>
    </row>
    <row r="24" spans="1:10" ht="35.15" customHeight="1">
      <c r="A24" s="6"/>
      <c r="B24" s="24"/>
      <c r="C24" s="84" t="s">
        <v>51</v>
      </c>
      <c r="D24" s="12"/>
      <c r="E24" s="9" t="s">
        <v>52</v>
      </c>
      <c r="F24" s="50">
        <v>36</v>
      </c>
      <c r="G24" s="62">
        <v>34.814999999999998</v>
      </c>
      <c r="H24" s="22">
        <v>37</v>
      </c>
      <c r="I24" s="17" t="str">
        <f t="shared" ref="I24:I27" si="3">IF($G24&gt;0,"STATION ON STREAM",IF(AND($G24=0,$H24&gt;0),"STATION ON STANDBY","STATION ON SHUTDOWN"))</f>
        <v>STATION ON STREAM</v>
      </c>
      <c r="J24" s="17"/>
    </row>
    <row r="25" spans="1:10" ht="35.15" customHeight="1">
      <c r="A25" s="25"/>
      <c r="B25" s="24"/>
      <c r="C25" s="85"/>
      <c r="D25" s="12"/>
      <c r="E25" s="9" t="s">
        <v>53</v>
      </c>
      <c r="F25" s="50">
        <v>1</v>
      </c>
      <c r="G25" s="62">
        <v>0.96</v>
      </c>
      <c r="H25" s="22" t="s">
        <v>54</v>
      </c>
      <c r="I25" s="17" t="str">
        <f t="shared" si="3"/>
        <v>STATION ON STREAM</v>
      </c>
      <c r="J25" s="17"/>
    </row>
    <row r="26" spans="1:10" ht="35.15" customHeight="1">
      <c r="A26" s="25"/>
      <c r="B26" s="24"/>
      <c r="C26" s="85"/>
      <c r="D26" s="8"/>
      <c r="E26" s="9" t="s">
        <v>55</v>
      </c>
      <c r="F26" s="50">
        <v>181</v>
      </c>
      <c r="G26" s="62">
        <v>189.17</v>
      </c>
      <c r="H26" s="22" t="s">
        <v>217</v>
      </c>
      <c r="I26" s="17" t="str">
        <f t="shared" si="3"/>
        <v>STATION ON STREAM</v>
      </c>
      <c r="J26" s="42"/>
    </row>
    <row r="27" spans="1:10" ht="35.15" customHeight="1">
      <c r="A27" s="25"/>
      <c r="B27" s="24"/>
      <c r="C27" s="86"/>
      <c r="D27" s="12"/>
      <c r="E27" s="9" t="s">
        <v>57</v>
      </c>
      <c r="F27" s="50">
        <v>0.3</v>
      </c>
      <c r="G27" s="62">
        <v>0.38100000000000001</v>
      </c>
      <c r="H27" s="22" t="s">
        <v>58</v>
      </c>
      <c r="I27" s="17" t="str">
        <f t="shared" si="3"/>
        <v>STATION ON STREAM</v>
      </c>
      <c r="J27" s="21">
        <v>0</v>
      </c>
    </row>
    <row r="28" spans="1:10" ht="35.15" customHeight="1">
      <c r="A28" s="25"/>
      <c r="B28" s="24"/>
      <c r="C28" s="87"/>
      <c r="D28" s="8"/>
      <c r="E28" s="13" t="s">
        <v>13</v>
      </c>
      <c r="F28" s="26"/>
      <c r="G28" s="57">
        <f>SUM(G24+G25+G26+G27)</f>
        <v>225.32599999999999</v>
      </c>
      <c r="H28" s="15"/>
      <c r="I28" s="17"/>
      <c r="J28" s="21"/>
    </row>
    <row r="29" spans="1:10" ht="35.15" customHeight="1">
      <c r="A29" s="25"/>
      <c r="B29" s="24"/>
      <c r="C29" s="84" t="s">
        <v>59</v>
      </c>
      <c r="D29" s="12"/>
      <c r="E29" s="9" t="s">
        <v>60</v>
      </c>
      <c r="F29" s="21">
        <v>146</v>
      </c>
      <c r="G29" s="58">
        <v>138.98099999999999</v>
      </c>
      <c r="H29" s="11">
        <v>38</v>
      </c>
      <c r="I29" s="17" t="str">
        <f>IF($G29&gt;0,"STATION ON STREAM",IF(AND($G29=0,$H29&gt;0),"STATION ON STANDBY","STATION ON SHUTDOWN"))</f>
        <v>STATION ON STREAM</v>
      </c>
      <c r="J29" s="21">
        <f>G35*4</f>
        <v>0</v>
      </c>
    </row>
    <row r="30" spans="1:10" ht="35.15" customHeight="1">
      <c r="A30" s="28"/>
      <c r="B30" s="29"/>
      <c r="C30" s="87"/>
      <c r="D30" s="12"/>
      <c r="E30" s="13" t="s">
        <v>13</v>
      </c>
      <c r="F30" s="14"/>
      <c r="G30" s="63">
        <f>SUM(G29)</f>
        <v>138.98099999999999</v>
      </c>
      <c r="H30" s="27"/>
      <c r="I30" s="17"/>
      <c r="J30" s="17"/>
    </row>
    <row r="31" spans="1:10" ht="35.15" customHeight="1">
      <c r="A31" s="25"/>
      <c r="B31" s="24"/>
      <c r="C31" s="30" t="s">
        <v>61</v>
      </c>
      <c r="D31" s="30"/>
      <c r="E31" s="13" t="s">
        <v>62</v>
      </c>
      <c r="F31" s="13"/>
      <c r="G31" s="66">
        <f>SUM(G7+G14+G21+G23+G28+G30)</f>
        <v>618.14300000000003</v>
      </c>
      <c r="H31" s="27"/>
      <c r="I31" s="17"/>
      <c r="J31" s="17"/>
    </row>
    <row r="32" spans="1:10" ht="34.5" customHeight="1">
      <c r="A32" s="32"/>
      <c r="B32" s="24"/>
      <c r="C32" s="84" t="s">
        <v>63</v>
      </c>
      <c r="D32" s="12"/>
      <c r="E32" s="9" t="s">
        <v>64</v>
      </c>
      <c r="F32" s="9"/>
      <c r="G32" s="67">
        <v>51.07</v>
      </c>
      <c r="H32" s="31" t="s">
        <v>65</v>
      </c>
      <c r="I32" s="17" t="str">
        <f>IF($G32&gt;0,"STATION ON STREAM",IF(AND($G32=0,$H32&gt;0),"STATION ON STANDBY","STATION ON SHUTDOWN"))</f>
        <v>STATION ON STREAM</v>
      </c>
      <c r="J32" s="17"/>
    </row>
    <row r="33" spans="1:11" ht="35.15" customHeight="1">
      <c r="A33" s="25"/>
      <c r="B33" s="24"/>
      <c r="C33" s="88"/>
      <c r="D33" s="8"/>
      <c r="E33" s="13" t="s">
        <v>13</v>
      </c>
      <c r="F33" s="14"/>
      <c r="G33" s="57">
        <f>SUM(G32)</f>
        <v>51.07</v>
      </c>
      <c r="H33" s="27"/>
      <c r="I33" s="17"/>
      <c r="J33" s="17"/>
    </row>
    <row r="34" spans="1:11" ht="35.15" customHeight="1">
      <c r="A34" s="25"/>
      <c r="B34" s="24"/>
      <c r="C34" s="84" t="s">
        <v>14</v>
      </c>
      <c r="D34" s="8"/>
      <c r="E34" s="9" t="s">
        <v>66</v>
      </c>
      <c r="F34" s="9"/>
      <c r="G34" s="9">
        <v>26.931000000000001</v>
      </c>
      <c r="H34" s="31" t="s">
        <v>67</v>
      </c>
      <c r="I34" s="17" t="str">
        <f>IF($G34&gt;0,"STATION ON STREAM",IF(AND($G34=0,$H34&gt;0),"STATION ON STANDBY","STATION ON SHUTDOWN"))</f>
        <v>STATION ON STREAM</v>
      </c>
      <c r="J34" s="17"/>
    </row>
    <row r="35" spans="1:11" ht="35.15" customHeight="1">
      <c r="A35" s="25"/>
      <c r="B35" s="24"/>
      <c r="C35" s="85"/>
      <c r="D35" s="12"/>
      <c r="E35" s="9" t="s">
        <v>68</v>
      </c>
      <c r="F35" s="9"/>
      <c r="G35" s="65">
        <v>0</v>
      </c>
      <c r="H35" s="31" t="s">
        <v>65</v>
      </c>
      <c r="I35" s="17" t="str">
        <f>IF($G35&gt;0,"STATION ON STREAM",IF(AND($G35=0,$H35&gt;0),"STATION ON STANDBY","STATION ON SHUTDOWN"))</f>
        <v>STATION ON STANDBY</v>
      </c>
      <c r="J35" s="17"/>
    </row>
    <row r="36" spans="1:11" ht="35.25" customHeight="1">
      <c r="A36" s="25"/>
      <c r="B36" s="24"/>
      <c r="C36" s="85"/>
      <c r="D36" s="12"/>
      <c r="E36" s="13" t="s">
        <v>13</v>
      </c>
      <c r="F36" s="14"/>
      <c r="G36" s="57">
        <f>SUM(G34:G35)</f>
        <v>26.931000000000001</v>
      </c>
      <c r="H36" s="27"/>
      <c r="I36" s="17"/>
      <c r="J36" s="17"/>
    </row>
    <row r="37" spans="1:11" ht="35.15" customHeight="1">
      <c r="A37" s="25"/>
      <c r="B37" s="24"/>
      <c r="C37" s="85"/>
      <c r="D37" s="12"/>
      <c r="E37" s="9" t="s">
        <v>69</v>
      </c>
      <c r="F37" s="9"/>
      <c r="G37" s="64">
        <v>0</v>
      </c>
      <c r="H37" s="31" t="s">
        <v>65</v>
      </c>
      <c r="I37" s="17" t="str">
        <f>IF($G37&gt;0,"STATION ON STREAM",IF(AND($G37=0,$H37&gt;0),"STATION ON STANDBY","STATION ON SHUTDOWN"))</f>
        <v>STATION ON STANDBY</v>
      </c>
      <c r="J37" s="17"/>
    </row>
    <row r="38" spans="1:11" ht="35.15" customHeight="1">
      <c r="A38" s="33" t="s">
        <v>70</v>
      </c>
      <c r="B38" s="24"/>
      <c r="C38" s="87"/>
      <c r="D38" s="12"/>
      <c r="E38" s="9" t="s">
        <v>71</v>
      </c>
      <c r="F38" s="9"/>
      <c r="G38" s="51">
        <v>0</v>
      </c>
      <c r="H38" s="31" t="s">
        <v>136</v>
      </c>
      <c r="I38" s="17" t="str">
        <f>IF($G38&gt;0,"STATION ON STREAM",IF(AND($G38=0,$H38&gt;0),"STATION ON STANDBY","STATION ON SHUTDOWN"))</f>
        <v>STATION ON STANDBY</v>
      </c>
      <c r="J38" s="17"/>
    </row>
    <row r="39" spans="1:11" ht="35.15" customHeight="1">
      <c r="A39" s="25"/>
      <c r="B39" s="24"/>
      <c r="C39" s="68"/>
      <c r="D39" s="12"/>
      <c r="E39" s="9" t="s">
        <v>72</v>
      </c>
      <c r="F39" s="9"/>
      <c r="G39" s="64">
        <v>0</v>
      </c>
      <c r="H39" s="31" t="s">
        <v>73</v>
      </c>
      <c r="I39" s="17" t="str">
        <f>IF($G39&gt;0,"STATION ON STREAM",IF(AND($G39=0,$H39&gt;0),"STATION ON STANDBY","STATION ON SHUTDOWN"))</f>
        <v>STATION ON STANDBY</v>
      </c>
      <c r="J39" s="17"/>
    </row>
    <row r="40" spans="1:11" ht="35.15" customHeight="1">
      <c r="A40" s="25"/>
      <c r="B40" s="24"/>
      <c r="C40" s="84" t="s">
        <v>74</v>
      </c>
      <c r="D40" s="8"/>
      <c r="E40" s="9" t="s">
        <v>75</v>
      </c>
      <c r="F40" s="9"/>
      <c r="G40" s="64">
        <v>1.6970000000000001</v>
      </c>
      <c r="H40" s="31" t="s">
        <v>97</v>
      </c>
      <c r="I40" s="17" t="str">
        <f>IF($G40&gt;0,"STATION ON STREAM",IF(AND($G40=0,$H40&gt;0),"STATION ON STANDBY","STATION ON SHUTDOWN"))</f>
        <v>STATION ON STREAM</v>
      </c>
      <c r="J40" s="17"/>
      <c r="K40" s="43"/>
    </row>
    <row r="41" spans="1:11" ht="35.15" customHeight="1">
      <c r="A41" s="25"/>
      <c r="B41" s="24"/>
      <c r="C41" s="88"/>
      <c r="D41" s="8"/>
      <c r="E41" s="13" t="s">
        <v>13</v>
      </c>
      <c r="F41" s="14"/>
      <c r="G41" s="57">
        <f>SUM(G37:G40)</f>
        <v>1.6970000000000001</v>
      </c>
      <c r="H41" s="27"/>
      <c r="I41" s="17"/>
      <c r="J41" s="17"/>
      <c r="K41" s="44"/>
    </row>
    <row r="42" spans="1:11" ht="35.15" customHeight="1">
      <c r="A42" s="32"/>
      <c r="B42" s="24"/>
      <c r="C42" s="69" t="s">
        <v>51</v>
      </c>
      <c r="D42" s="8"/>
      <c r="E42" s="9" t="s">
        <v>77</v>
      </c>
      <c r="F42" s="9"/>
      <c r="G42" s="52">
        <v>1.57</v>
      </c>
      <c r="H42" s="35">
        <v>44</v>
      </c>
      <c r="I42" s="17" t="str">
        <f t="shared" ref="I42:I43" si="4">IF($G42&gt;0,"STATION ON STREAM",IF(AND($G42=0,$H42&gt;0),"STATION ON STANDBY","STATION ON SHUTDOWN"))</f>
        <v>STATION ON STREAM</v>
      </c>
      <c r="J42" s="42"/>
    </row>
    <row r="43" spans="1:11" ht="35.15" customHeight="1">
      <c r="A43" s="32"/>
      <c r="B43" s="24"/>
      <c r="C43" s="89"/>
      <c r="D43" s="8"/>
      <c r="E43" s="9" t="s">
        <v>78</v>
      </c>
      <c r="F43" s="9"/>
      <c r="G43" s="53">
        <v>0</v>
      </c>
      <c r="H43" s="35">
        <v>0</v>
      </c>
      <c r="I43" s="17" t="str">
        <f t="shared" si="4"/>
        <v>STATION ON SHUTDOWN</v>
      </c>
      <c r="J43" s="17"/>
    </row>
    <row r="44" spans="1:11" ht="35.15" customHeight="1">
      <c r="A44" s="36"/>
      <c r="B44" s="36"/>
      <c r="C44" s="89"/>
      <c r="D44" s="8"/>
      <c r="E44" s="9" t="s">
        <v>79</v>
      </c>
      <c r="F44" s="9"/>
      <c r="G44" s="53">
        <v>2.09</v>
      </c>
      <c r="H44" s="35">
        <v>15</v>
      </c>
      <c r="I44" s="17" t="str">
        <f>IF($G45&gt;0,"STATION ON STREAM",IF(AND($G45=0,$H44&gt;0),"STATION ON STANDBY","STATION ON SHUTDOWN"))</f>
        <v>STATION ON STANDBY</v>
      </c>
      <c r="J44" s="42"/>
    </row>
    <row r="45" spans="1:11" ht="26.25" customHeight="1">
      <c r="A45" s="36"/>
      <c r="B45" s="36"/>
      <c r="C45" s="90"/>
      <c r="D45" s="8"/>
      <c r="E45" s="9" t="s">
        <v>80</v>
      </c>
      <c r="F45" s="9"/>
      <c r="G45" s="51">
        <v>0</v>
      </c>
      <c r="H45" s="35">
        <v>35</v>
      </c>
      <c r="I45" s="17" t="str">
        <f>IF($G45&gt;0,"STATION ON STREAM",IF(AND($G45=0,$H45&gt;0),"STATION ON STANDBY","STATION ON SHUTDOWN"))</f>
        <v>STATION ON STANDBY</v>
      </c>
      <c r="J45" s="42"/>
    </row>
    <row r="46" spans="1:11" ht="21" customHeight="1">
      <c r="A46" s="82"/>
      <c r="B46" s="83"/>
      <c r="C46" s="30"/>
      <c r="D46" s="12"/>
      <c r="E46" s="13" t="s">
        <v>13</v>
      </c>
      <c r="F46" s="14" t="s">
        <v>62</v>
      </c>
      <c r="G46" s="57">
        <f>SUM(G42:G45)</f>
        <v>3.66</v>
      </c>
      <c r="H46" s="37"/>
      <c r="I46" s="14" t="s">
        <v>81</v>
      </c>
      <c r="J46" s="42"/>
    </row>
    <row r="47" spans="1:11" ht="25.5" customHeight="1">
      <c r="A47" s="38"/>
      <c r="B47" s="38"/>
      <c r="C47" s="30" t="s">
        <v>61</v>
      </c>
      <c r="D47" s="30"/>
      <c r="E47" s="13" t="s">
        <v>62</v>
      </c>
      <c r="F47" s="13" t="s">
        <v>62</v>
      </c>
      <c r="G47" s="57">
        <f>SUM(G33+G36+G41+G46)</f>
        <v>83.358000000000004</v>
      </c>
      <c r="H47" s="37"/>
      <c r="I47" s="13" t="s">
        <v>62</v>
      </c>
      <c r="J47" s="45"/>
    </row>
    <row r="48" spans="1:11" ht="18.5">
      <c r="A48" s="38"/>
      <c r="B48" s="38"/>
      <c r="C48" s="30" t="s">
        <v>82</v>
      </c>
      <c r="D48" s="30"/>
      <c r="E48" s="13" t="s">
        <v>62</v>
      </c>
      <c r="F48" s="13" t="s">
        <v>62</v>
      </c>
      <c r="G48" s="66">
        <f>SUM(G31+G47)</f>
        <v>701.50099999999998</v>
      </c>
      <c r="H48" s="39"/>
      <c r="I48" s="46"/>
      <c r="J48" s="47">
        <f>J14+J47+J7</f>
        <v>731.06625000000008</v>
      </c>
    </row>
    <row r="49" spans="1:10" ht="18.5">
      <c r="A49" s="38"/>
      <c r="B49" s="38"/>
      <c r="C49" s="34"/>
      <c r="D49" s="34"/>
      <c r="E49" s="34"/>
      <c r="F49" s="40"/>
      <c r="G49" s="40"/>
      <c r="H49" s="41"/>
      <c r="I49" s="40"/>
      <c r="J49" s="48"/>
    </row>
    <row r="50" spans="1:10" ht="18.5">
      <c r="C50" s="34"/>
      <c r="D50" s="34"/>
      <c r="E50" s="34"/>
      <c r="F50" s="34"/>
      <c r="G50" s="40"/>
      <c r="H50" s="41"/>
      <c r="I50" s="34"/>
      <c r="J50" s="34"/>
    </row>
  </sheetData>
  <sheetProtection formatCells="0" formatColumns="0" formatRows="0" insertColumns="0" insertRows="0"/>
  <mergeCells count="15">
    <mergeCell ref="A46:B46"/>
    <mergeCell ref="C24:C28"/>
    <mergeCell ref="C29:C30"/>
    <mergeCell ref="C32:C33"/>
    <mergeCell ref="C34:C38"/>
    <mergeCell ref="C40:C41"/>
    <mergeCell ref="C42:C45"/>
    <mergeCell ref="C15:C18"/>
    <mergeCell ref="A19:B23"/>
    <mergeCell ref="C19:C21"/>
    <mergeCell ref="A1:J2"/>
    <mergeCell ref="A3:J3"/>
    <mergeCell ref="A5:B5"/>
    <mergeCell ref="C6:C7"/>
    <mergeCell ref="C8:C14"/>
  </mergeCells>
  <printOptions horizontalCentered="1"/>
  <pageMargins left="0.196850393700787" right="0.196850393700787" top="0" bottom="0" header="0.118110236220472" footer="0.118110236220472"/>
  <pageSetup paperSize="9" scale="40" fitToHeight="0" orientation="portrait" verticalDpi="300" r:id="rId1"/>
  <headerFooter alignWithMargins="0">
    <oddHeader>&amp;C&amp;KFFA500&amp;10&amp;"Calibri"Confidential: Internal Use Only</oddHeader>
    <oddFooter>&amp;C&amp;KFFA500&amp;10&amp;"Calibri"Confidential: Internal Use Only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4B1F9-4238-4FAF-A904-63100E833DB0}">
  <sheetPr codeName="Sheet19">
    <pageSetUpPr fitToPage="1"/>
  </sheetPr>
  <dimension ref="A1:K50"/>
  <sheetViews>
    <sheetView showGridLines="0" tabSelected="1" view="pageBreakPreview" topLeftCell="D175" zoomScale="73" zoomScaleNormal="55" zoomScaleSheetLayoutView="73" zoomScalePageLayoutView="10" workbookViewId="0">
      <selection activeCell="A53" sqref="A50:XFD53"/>
    </sheetView>
  </sheetViews>
  <sheetFormatPr defaultColWidth="9" defaultRowHeight="14.5"/>
  <cols>
    <col min="1" max="1" width="15.26953125" customWidth="1"/>
    <col min="2" max="2" width="2.90625" customWidth="1"/>
    <col min="3" max="3" width="18.7265625" customWidth="1"/>
    <col min="4" max="4" width="29.7265625" customWidth="1"/>
    <col min="5" max="5" width="44.08984375" customWidth="1"/>
    <col min="6" max="6" width="22.26953125" customWidth="1"/>
    <col min="7" max="7" width="21" customWidth="1"/>
    <col min="8" max="8" width="23" style="1" customWidth="1"/>
    <col min="9" max="9" width="38.6328125" customWidth="1"/>
    <col min="10" max="10" width="20.36328125" customWidth="1"/>
    <col min="14" max="14" width="8.7265625" customWidth="1"/>
    <col min="15" max="15" width="8.08984375" customWidth="1"/>
    <col min="17" max="17" width="9.26953125" customWidth="1"/>
    <col min="21" max="21" width="9.08984375" customWidth="1"/>
  </cols>
  <sheetData>
    <row r="1" spans="1:10" ht="59.25" customHeight="1">
      <c r="A1" s="75" t="s">
        <v>0</v>
      </c>
      <c r="B1" s="75"/>
      <c r="C1" s="75"/>
      <c r="D1" s="75"/>
      <c r="E1" s="75"/>
      <c r="F1" s="75"/>
      <c r="G1" s="75"/>
      <c r="H1" s="75"/>
      <c r="I1" s="75"/>
      <c r="J1" s="75"/>
    </row>
    <row r="2" spans="1:10" ht="18.75" customHeight="1">
      <c r="A2" s="75"/>
      <c r="B2" s="75"/>
      <c r="C2" s="75"/>
      <c r="D2" s="75"/>
      <c r="E2" s="75"/>
      <c r="F2" s="75"/>
      <c r="G2" s="75"/>
      <c r="H2" s="75"/>
      <c r="I2" s="75"/>
      <c r="J2" s="75"/>
    </row>
    <row r="3" spans="1:10" ht="33" customHeight="1">
      <c r="A3" s="76" t="s">
        <v>242</v>
      </c>
      <c r="B3" s="77"/>
      <c r="C3" s="77"/>
      <c r="D3" s="77"/>
      <c r="E3" s="77"/>
      <c r="F3" s="77"/>
      <c r="G3" s="77"/>
      <c r="H3" s="77"/>
      <c r="I3" s="77"/>
      <c r="J3" s="77"/>
    </row>
    <row r="4" spans="1:10" ht="9.75" customHeight="1">
      <c r="A4" s="2"/>
      <c r="B4" s="2"/>
      <c r="C4" s="2"/>
      <c r="D4" s="2"/>
      <c r="E4" s="2"/>
      <c r="F4" s="2"/>
      <c r="G4" s="2"/>
      <c r="H4" s="3"/>
      <c r="I4" s="2" t="s">
        <v>1</v>
      </c>
      <c r="J4" s="2"/>
    </row>
    <row r="5" spans="1:10" ht="43">
      <c r="A5" s="78" t="s">
        <v>2</v>
      </c>
      <c r="B5" s="79"/>
      <c r="C5" s="4" t="s">
        <v>3</v>
      </c>
      <c r="D5" s="4"/>
      <c r="E5" s="4" t="s">
        <v>4</v>
      </c>
      <c r="F5" s="4" t="s">
        <v>5</v>
      </c>
      <c r="G5" s="4" t="s">
        <v>6</v>
      </c>
      <c r="H5" s="5" t="s">
        <v>7</v>
      </c>
      <c r="I5" s="4" t="s">
        <v>8</v>
      </c>
      <c r="J5" s="18" t="s">
        <v>9</v>
      </c>
    </row>
    <row r="6" spans="1:10" ht="40.5" customHeight="1">
      <c r="A6" s="6"/>
      <c r="B6" s="7"/>
      <c r="C6" s="80" t="s">
        <v>10</v>
      </c>
      <c r="D6" s="8"/>
      <c r="E6" s="9" t="s">
        <v>11</v>
      </c>
      <c r="F6" s="54">
        <v>47.2</v>
      </c>
      <c r="G6" s="54">
        <v>29.978999999999999</v>
      </c>
      <c r="H6" s="55" t="s">
        <v>12</v>
      </c>
      <c r="I6" s="17" t="str">
        <f>IF($G6&gt;0,"STATION ON STREAM",IF(AND($G6=0,$H6&gt;0),"STATION ON STANDBY","STATION ON SHUTDOWN"))</f>
        <v>STATION ON STREAM</v>
      </c>
      <c r="J6" s="56">
        <v>155.46</v>
      </c>
    </row>
    <row r="7" spans="1:10" ht="35.15" customHeight="1">
      <c r="A7" s="6"/>
      <c r="B7" s="7"/>
      <c r="C7" s="81"/>
      <c r="D7" s="12"/>
      <c r="E7" s="13" t="s">
        <v>13</v>
      </c>
      <c r="F7" s="14"/>
      <c r="G7" s="57">
        <f>G6</f>
        <v>29.978999999999999</v>
      </c>
      <c r="H7" s="15"/>
      <c r="I7" s="17"/>
      <c r="J7" s="19">
        <f>J6</f>
        <v>155.46</v>
      </c>
    </row>
    <row r="8" spans="1:10" ht="29.25" customHeight="1">
      <c r="A8" s="6"/>
      <c r="B8" s="7"/>
      <c r="C8" s="81"/>
      <c r="D8" s="12"/>
      <c r="E8" s="9" t="s">
        <v>19</v>
      </c>
      <c r="F8" s="10">
        <v>25</v>
      </c>
      <c r="G8" s="58">
        <v>19.177</v>
      </c>
      <c r="H8" s="16" t="s">
        <v>37</v>
      </c>
      <c r="I8" s="17" t="str">
        <f>IF($G8&gt;0,"STATION ON STREAM",IF(AND($G8=0,$H9&gt;0),"STATION ON STANDBY","STATION ON SHUTDOWN"))</f>
        <v>STATION ON STREAM</v>
      </c>
      <c r="J8" s="56">
        <v>104.29</v>
      </c>
    </row>
    <row r="9" spans="1:10" ht="35.15" customHeight="1">
      <c r="A9" s="6"/>
      <c r="B9" s="7"/>
      <c r="C9" s="81"/>
      <c r="D9" s="12"/>
      <c r="E9" s="9" t="s">
        <v>20</v>
      </c>
      <c r="F9" s="10">
        <v>13</v>
      </c>
      <c r="G9" s="58">
        <v>17.52</v>
      </c>
      <c r="H9" s="16" t="s">
        <v>21</v>
      </c>
      <c r="I9" s="17" t="str">
        <f t="shared" ref="I9:I13" si="0">IF($G9&gt;0,"STATION ON STREAM",IF(AND($G9=0,$H9&gt;0),"STATION ON STANDBY","STATION ON SHUTDOWN"))</f>
        <v>STATION ON STREAM</v>
      </c>
      <c r="J9" s="56">
        <v>88.82</v>
      </c>
    </row>
    <row r="10" spans="1:10" ht="35.15" customHeight="1">
      <c r="A10" s="6"/>
      <c r="B10" s="7"/>
      <c r="C10" s="81"/>
      <c r="D10" s="12"/>
      <c r="E10" s="9" t="s">
        <v>22</v>
      </c>
      <c r="F10" s="21">
        <v>17</v>
      </c>
      <c r="G10" s="58">
        <v>12.423999999999999</v>
      </c>
      <c r="H10" s="16" t="s">
        <v>206</v>
      </c>
      <c r="I10" s="17" t="str">
        <f t="shared" si="0"/>
        <v>STATION ON STREAM</v>
      </c>
      <c r="J10" s="56">
        <v>44.26</v>
      </c>
    </row>
    <row r="11" spans="1:10" ht="35.15" customHeight="1">
      <c r="A11" s="6"/>
      <c r="B11" s="7"/>
      <c r="C11" s="81"/>
      <c r="D11" s="12"/>
      <c r="E11" s="9" t="s">
        <v>23</v>
      </c>
      <c r="F11" s="10">
        <v>25</v>
      </c>
      <c r="G11" s="58">
        <v>32.383000000000003</v>
      </c>
      <c r="H11" s="16" t="s">
        <v>218</v>
      </c>
      <c r="I11" s="17" t="str">
        <f t="shared" si="0"/>
        <v>STATION ON STREAM</v>
      </c>
      <c r="J11" s="56">
        <v>108.78125</v>
      </c>
    </row>
    <row r="12" spans="1:10" ht="35.15" customHeight="1">
      <c r="A12" s="6"/>
      <c r="B12" s="7"/>
      <c r="C12" s="81"/>
      <c r="D12" s="12"/>
      <c r="E12" s="9" t="s">
        <v>24</v>
      </c>
      <c r="F12" s="10">
        <v>0</v>
      </c>
      <c r="G12" s="58">
        <v>0</v>
      </c>
      <c r="H12" s="16" t="s">
        <v>219</v>
      </c>
      <c r="I12" s="17" t="str">
        <f t="shared" si="0"/>
        <v>STATION ON STANDBY</v>
      </c>
      <c r="J12" s="56">
        <v>0</v>
      </c>
    </row>
    <row r="13" spans="1:10" ht="35.15" customHeight="1">
      <c r="A13" s="6"/>
      <c r="B13" s="7"/>
      <c r="C13" s="81"/>
      <c r="D13" s="12"/>
      <c r="E13" s="9" t="s">
        <v>25</v>
      </c>
      <c r="F13" s="10">
        <v>68.430000000000007</v>
      </c>
      <c r="G13" s="58">
        <v>64.366</v>
      </c>
      <c r="H13" s="11" t="s">
        <v>208</v>
      </c>
      <c r="I13" s="17" t="str">
        <f t="shared" si="0"/>
        <v>STATION ON STREAM</v>
      </c>
      <c r="J13" s="56">
        <v>274.8</v>
      </c>
    </row>
    <row r="14" spans="1:10" ht="35.15" customHeight="1">
      <c r="A14" s="6"/>
      <c r="B14" s="7"/>
      <c r="C14" s="81"/>
      <c r="D14" s="12"/>
      <c r="E14" s="13" t="s">
        <v>13</v>
      </c>
      <c r="F14" s="14"/>
      <c r="G14" s="57">
        <f>SUM(G8:G13)</f>
        <v>145.87</v>
      </c>
      <c r="H14" s="15"/>
      <c r="I14" s="17"/>
      <c r="J14" s="19">
        <f>SUM(J8:J13)</f>
        <v>620.95125000000007</v>
      </c>
    </row>
    <row r="15" spans="1:10" ht="35.15" customHeight="1">
      <c r="A15" s="6"/>
      <c r="B15" s="7"/>
      <c r="C15" s="69"/>
      <c r="D15" s="8"/>
      <c r="E15" s="9" t="s">
        <v>27</v>
      </c>
      <c r="F15" s="21"/>
      <c r="G15" s="21">
        <v>57.1</v>
      </c>
      <c r="H15" s="11" t="s">
        <v>220</v>
      </c>
      <c r="I15" s="17" t="str">
        <f t="shared" ref="I15:I18" si="1">IF($G15&gt;0,"STATION ON STREAM",IF(AND($G15=0,$H15&gt;0),"STATION ON STANDBY","STATION ON SHUTDOWN"))</f>
        <v>STATION ON STREAM</v>
      </c>
      <c r="J15" s="17"/>
    </row>
    <row r="16" spans="1:10" ht="35.15" customHeight="1">
      <c r="A16" s="6"/>
      <c r="B16" s="7"/>
      <c r="C16" s="70"/>
      <c r="D16" s="12"/>
      <c r="E16" s="9" t="s">
        <v>29</v>
      </c>
      <c r="F16" s="21"/>
      <c r="G16" s="58">
        <v>11.792</v>
      </c>
      <c r="H16" s="11" t="s">
        <v>145</v>
      </c>
      <c r="I16" s="17" t="str">
        <f t="shared" si="1"/>
        <v>STATION ON STREAM</v>
      </c>
      <c r="J16" s="17"/>
    </row>
    <row r="17" spans="1:10" ht="35.15" customHeight="1">
      <c r="A17" s="6"/>
      <c r="B17" s="7"/>
      <c r="C17" s="70"/>
      <c r="D17" s="12"/>
      <c r="E17" s="9" t="s">
        <v>31</v>
      </c>
      <c r="F17" s="21"/>
      <c r="G17" s="58">
        <v>1.7999999999999999E-2</v>
      </c>
      <c r="H17" s="11" t="s">
        <v>211</v>
      </c>
      <c r="I17" s="17" t="str">
        <f t="shared" si="1"/>
        <v>STATION ON STREAM</v>
      </c>
      <c r="J17" s="17"/>
    </row>
    <row r="18" spans="1:10" ht="35.15" customHeight="1">
      <c r="A18" s="6"/>
      <c r="B18" s="7"/>
      <c r="C18" s="70"/>
      <c r="D18" s="12"/>
      <c r="E18" s="9" t="s">
        <v>33</v>
      </c>
      <c r="F18" s="21"/>
      <c r="G18" s="58">
        <v>30.902000000000001</v>
      </c>
      <c r="H18" s="11" t="s">
        <v>140</v>
      </c>
      <c r="I18" s="17" t="str">
        <f t="shared" si="1"/>
        <v>STATION ON STREAM</v>
      </c>
      <c r="J18" s="17"/>
    </row>
    <row r="19" spans="1:10" ht="34.5" customHeight="1">
      <c r="A19" s="72"/>
      <c r="B19" s="73"/>
      <c r="C19" s="74"/>
      <c r="D19" s="12"/>
      <c r="E19" s="17" t="s">
        <v>47</v>
      </c>
      <c r="F19" s="49"/>
      <c r="G19" s="59">
        <v>0</v>
      </c>
      <c r="H19" s="16" t="s">
        <v>135</v>
      </c>
      <c r="I19" s="17" t="str">
        <f t="shared" ref="I19:I20" si="2">IF($G19&gt;0,"STATION ON STREAM",IF(AND($G19=0,$H19&gt;0),"STATION ON STANDBY","STATION ON SHUTDOWN"))</f>
        <v>STATION ON STANDBY</v>
      </c>
      <c r="J19" s="17"/>
    </row>
    <row r="20" spans="1:10" ht="34.5" customHeight="1">
      <c r="A20" s="72"/>
      <c r="B20" s="73"/>
      <c r="C20" s="74"/>
      <c r="D20" s="12"/>
      <c r="E20" s="17" t="s">
        <v>49</v>
      </c>
      <c r="F20" s="49"/>
      <c r="G20" s="59">
        <v>0</v>
      </c>
      <c r="H20" s="16" t="s">
        <v>135</v>
      </c>
      <c r="I20" s="17" t="str">
        <f t="shared" si="2"/>
        <v>STATION ON STANDBY</v>
      </c>
      <c r="J20" s="17"/>
    </row>
    <row r="21" spans="1:10" ht="35.15" customHeight="1">
      <c r="A21" s="72"/>
      <c r="B21" s="73"/>
      <c r="C21" s="71"/>
      <c r="D21" s="12"/>
      <c r="E21" s="13" t="s">
        <v>13</v>
      </c>
      <c r="F21" s="14"/>
      <c r="G21" s="60">
        <f>SUM(G15:G20)</f>
        <v>99.811999999999998</v>
      </c>
      <c r="H21" s="20"/>
      <c r="I21" s="17"/>
      <c r="J21" s="17"/>
    </row>
    <row r="22" spans="1:10" ht="35.15" customHeight="1">
      <c r="A22" s="72"/>
      <c r="B22" s="73"/>
      <c r="C22" s="68"/>
      <c r="D22" s="12"/>
      <c r="E22" s="9" t="s">
        <v>50</v>
      </c>
      <c r="F22" s="21"/>
      <c r="G22" s="21">
        <v>1.87</v>
      </c>
      <c r="H22" s="21" t="s">
        <v>12</v>
      </c>
      <c r="I22" s="17" t="str">
        <f>IF($G22&gt;0,"STATION ON STREAM",IF(AND($G22=0,$H22&gt;0),"STATION ON STANDBY","STATION ON SHUTDOWN"))</f>
        <v>STATION ON STREAM</v>
      </c>
      <c r="J22" s="17"/>
    </row>
    <row r="23" spans="1:10" ht="35.15" customHeight="1">
      <c r="A23" s="72"/>
      <c r="B23" s="73"/>
      <c r="C23" s="68"/>
      <c r="D23" s="12"/>
      <c r="E23" s="13" t="s">
        <v>13</v>
      </c>
      <c r="F23" s="14"/>
      <c r="G23" s="61">
        <f>SUM(G22)</f>
        <v>1.87</v>
      </c>
      <c r="H23" s="23"/>
      <c r="I23" s="17"/>
      <c r="J23" s="17"/>
    </row>
    <row r="24" spans="1:10" ht="35.15" customHeight="1">
      <c r="A24" s="6"/>
      <c r="B24" s="24"/>
      <c r="C24" s="84" t="s">
        <v>51</v>
      </c>
      <c r="D24" s="12"/>
      <c r="E24" s="9" t="s">
        <v>52</v>
      </c>
      <c r="F24" s="50">
        <v>49</v>
      </c>
      <c r="G24" s="62">
        <v>44.363999999999997</v>
      </c>
      <c r="H24" s="22">
        <v>31</v>
      </c>
      <c r="I24" s="17" t="str">
        <f t="shared" ref="I24:I27" si="3">IF($G24&gt;0,"STATION ON STREAM",IF(AND($G24=0,$H24&gt;0),"STATION ON STANDBY","STATION ON SHUTDOWN"))</f>
        <v>STATION ON STREAM</v>
      </c>
      <c r="J24" s="17"/>
    </row>
    <row r="25" spans="1:10" ht="35.15" customHeight="1">
      <c r="A25" s="25"/>
      <c r="B25" s="24"/>
      <c r="C25" s="85"/>
      <c r="D25" s="12"/>
      <c r="E25" s="9" t="s">
        <v>53</v>
      </c>
      <c r="F25" s="50">
        <v>1</v>
      </c>
      <c r="G25" s="62">
        <v>1.0229999999999999</v>
      </c>
      <c r="H25" s="22" t="s">
        <v>54</v>
      </c>
      <c r="I25" s="17" t="str">
        <f t="shared" si="3"/>
        <v>STATION ON STREAM</v>
      </c>
      <c r="J25" s="17"/>
    </row>
    <row r="26" spans="1:10" ht="35.15" customHeight="1">
      <c r="A26" s="25"/>
      <c r="B26" s="24"/>
      <c r="C26" s="85"/>
      <c r="D26" s="8"/>
      <c r="E26" s="9" t="s">
        <v>55</v>
      </c>
      <c r="F26" s="50">
        <v>186</v>
      </c>
      <c r="G26" s="62">
        <v>172.53</v>
      </c>
      <c r="H26" s="22" t="s">
        <v>18</v>
      </c>
      <c r="I26" s="17" t="str">
        <f t="shared" si="3"/>
        <v>STATION ON STREAM</v>
      </c>
      <c r="J26" s="42"/>
    </row>
    <row r="27" spans="1:10" ht="35.15" customHeight="1">
      <c r="A27" s="25"/>
      <c r="B27" s="24"/>
      <c r="C27" s="86"/>
      <c r="D27" s="12"/>
      <c r="E27" s="9" t="s">
        <v>57</v>
      </c>
      <c r="F27" s="50">
        <v>0.3</v>
      </c>
      <c r="G27" s="62">
        <v>0.38900000000000001</v>
      </c>
      <c r="H27" s="22" t="s">
        <v>58</v>
      </c>
      <c r="I27" s="17" t="str">
        <f t="shared" si="3"/>
        <v>STATION ON STREAM</v>
      </c>
      <c r="J27" s="21">
        <v>0</v>
      </c>
    </row>
    <row r="28" spans="1:10" ht="35.15" customHeight="1">
      <c r="A28" s="25"/>
      <c r="B28" s="24"/>
      <c r="C28" s="87"/>
      <c r="D28" s="8"/>
      <c r="E28" s="13" t="s">
        <v>13</v>
      </c>
      <c r="F28" s="26"/>
      <c r="G28" s="57">
        <f>SUM(G24+G25+G26+G27)</f>
        <v>218.30600000000001</v>
      </c>
      <c r="H28" s="15"/>
      <c r="I28" s="17"/>
      <c r="J28" s="21"/>
    </row>
    <row r="29" spans="1:10" ht="35.15" customHeight="1">
      <c r="A29" s="25"/>
      <c r="B29" s="24"/>
      <c r="C29" s="84" t="s">
        <v>59</v>
      </c>
      <c r="D29" s="12"/>
      <c r="E29" s="9" t="s">
        <v>60</v>
      </c>
      <c r="F29" s="21">
        <v>146</v>
      </c>
      <c r="G29" s="58">
        <v>130.40899999999999</v>
      </c>
      <c r="H29" s="11">
        <v>34</v>
      </c>
      <c r="I29" s="17" t="str">
        <f>IF($G29&gt;0,"STATION ON STREAM",IF(AND($G29=0,$H29&gt;0),"STATION ON STANDBY","STATION ON SHUTDOWN"))</f>
        <v>STATION ON STREAM</v>
      </c>
      <c r="J29" s="21">
        <f>G35*4</f>
        <v>0</v>
      </c>
    </row>
    <row r="30" spans="1:10" ht="35.15" customHeight="1">
      <c r="A30" s="28"/>
      <c r="B30" s="29"/>
      <c r="C30" s="87"/>
      <c r="D30" s="12"/>
      <c r="E30" s="13" t="s">
        <v>13</v>
      </c>
      <c r="F30" s="14"/>
      <c r="G30" s="63">
        <f>SUM(G29)</f>
        <v>130.40899999999999</v>
      </c>
      <c r="H30" s="27"/>
      <c r="I30" s="17"/>
      <c r="J30" s="17"/>
    </row>
    <row r="31" spans="1:10" ht="35.15" customHeight="1">
      <c r="A31" s="25"/>
      <c r="B31" s="24"/>
      <c r="C31" s="30" t="s">
        <v>61</v>
      </c>
      <c r="D31" s="30"/>
      <c r="E31" s="13" t="s">
        <v>62</v>
      </c>
      <c r="F31" s="13"/>
      <c r="G31" s="66">
        <f>SUM(G7+G14+G21+G23+G28+G30)</f>
        <v>626.24599999999998</v>
      </c>
      <c r="H31" s="27"/>
      <c r="I31" s="17"/>
      <c r="J31" s="17"/>
    </row>
    <row r="32" spans="1:10" ht="34.5" customHeight="1">
      <c r="A32" s="32"/>
      <c r="B32" s="24"/>
      <c r="C32" s="84" t="s">
        <v>63</v>
      </c>
      <c r="D32" s="12"/>
      <c r="E32" s="9" t="s">
        <v>64</v>
      </c>
      <c r="F32" s="9"/>
      <c r="G32" s="67">
        <v>45.795999999999999</v>
      </c>
      <c r="H32" s="31" t="s">
        <v>65</v>
      </c>
      <c r="I32" s="17" t="str">
        <f>IF($G32&gt;0,"STATION ON STREAM",IF(AND($G32=0,$H32&gt;0),"STATION ON STANDBY","STATION ON SHUTDOWN"))</f>
        <v>STATION ON STREAM</v>
      </c>
      <c r="J32" s="17"/>
    </row>
    <row r="33" spans="1:11" ht="35.15" customHeight="1">
      <c r="A33" s="25"/>
      <c r="B33" s="24"/>
      <c r="C33" s="88"/>
      <c r="D33" s="8"/>
      <c r="E33" s="13" t="s">
        <v>13</v>
      </c>
      <c r="F33" s="14"/>
      <c r="G33" s="57">
        <f>SUM(G32)</f>
        <v>45.795999999999999</v>
      </c>
      <c r="H33" s="27"/>
      <c r="I33" s="17"/>
      <c r="J33" s="17"/>
    </row>
    <row r="34" spans="1:11" ht="35.15" customHeight="1">
      <c r="A34" s="25"/>
      <c r="B34" s="24"/>
      <c r="C34" s="84" t="s">
        <v>14</v>
      </c>
      <c r="D34" s="8"/>
      <c r="E34" s="9" t="s">
        <v>66</v>
      </c>
      <c r="F34" s="9"/>
      <c r="G34" s="9">
        <v>25.631</v>
      </c>
      <c r="H34" s="31" t="s">
        <v>67</v>
      </c>
      <c r="I34" s="17" t="str">
        <f>IF($G34&gt;0,"STATION ON STREAM",IF(AND($G34=0,$H34&gt;0),"STATION ON STANDBY","STATION ON SHUTDOWN"))</f>
        <v>STATION ON STREAM</v>
      </c>
      <c r="J34" s="17"/>
    </row>
    <row r="35" spans="1:11" ht="35.15" customHeight="1">
      <c r="A35" s="25"/>
      <c r="B35" s="24"/>
      <c r="C35" s="85"/>
      <c r="D35" s="12"/>
      <c r="E35" s="9" t="s">
        <v>68</v>
      </c>
      <c r="F35" s="9"/>
      <c r="G35" s="65">
        <v>0</v>
      </c>
      <c r="H35" s="31" t="s">
        <v>65</v>
      </c>
      <c r="I35" s="17" t="str">
        <f>IF($G35&gt;0,"STATION ON STREAM",IF(AND($G35=0,$H35&gt;0),"STATION ON STANDBY","STATION ON SHUTDOWN"))</f>
        <v>STATION ON STANDBY</v>
      </c>
      <c r="J35" s="17"/>
    </row>
    <row r="36" spans="1:11" ht="35.25" customHeight="1">
      <c r="A36" s="25"/>
      <c r="B36" s="24"/>
      <c r="C36" s="85"/>
      <c r="D36" s="12"/>
      <c r="E36" s="13" t="s">
        <v>13</v>
      </c>
      <c r="F36" s="14"/>
      <c r="G36" s="57">
        <f>SUM(G34:G35)</f>
        <v>25.631</v>
      </c>
      <c r="H36" s="27"/>
      <c r="I36" s="17"/>
      <c r="J36" s="17"/>
    </row>
    <row r="37" spans="1:11" ht="35.15" customHeight="1">
      <c r="A37" s="25"/>
      <c r="B37" s="24"/>
      <c r="C37" s="85"/>
      <c r="D37" s="12"/>
      <c r="E37" s="9" t="s">
        <v>69</v>
      </c>
      <c r="F37" s="9"/>
      <c r="G37" s="64">
        <v>0</v>
      </c>
      <c r="H37" s="31" t="s">
        <v>65</v>
      </c>
      <c r="I37" s="17" t="str">
        <f>IF($G37&gt;0,"STATION ON STREAM",IF(AND($G37=0,$H37&gt;0),"STATION ON STANDBY","STATION ON SHUTDOWN"))</f>
        <v>STATION ON STANDBY</v>
      </c>
      <c r="J37" s="17"/>
    </row>
    <row r="38" spans="1:11" ht="35.15" customHeight="1">
      <c r="A38" s="33" t="s">
        <v>70</v>
      </c>
      <c r="B38" s="24"/>
      <c r="C38" s="87"/>
      <c r="D38" s="12"/>
      <c r="E38" s="9" t="s">
        <v>71</v>
      </c>
      <c r="F38" s="9"/>
      <c r="G38" s="51">
        <v>0</v>
      </c>
      <c r="H38" s="31" t="s">
        <v>136</v>
      </c>
      <c r="I38" s="17" t="str">
        <f>IF($G38&gt;0,"STATION ON STREAM",IF(AND($G38=0,$H38&gt;0),"STATION ON STANDBY","STATION ON SHUTDOWN"))</f>
        <v>STATION ON STANDBY</v>
      </c>
      <c r="J38" s="17"/>
    </row>
    <row r="39" spans="1:11" ht="35.15" customHeight="1">
      <c r="A39" s="25"/>
      <c r="B39" s="24"/>
      <c r="C39" s="68"/>
      <c r="D39" s="12"/>
      <c r="E39" s="9" t="s">
        <v>72</v>
      </c>
      <c r="F39" s="9"/>
      <c r="G39" s="64">
        <v>0</v>
      </c>
      <c r="H39" s="31" t="s">
        <v>73</v>
      </c>
      <c r="I39" s="17" t="str">
        <f>IF($G39&gt;0,"STATION ON STREAM",IF(AND($G39=0,$H39&gt;0),"STATION ON STANDBY","STATION ON SHUTDOWN"))</f>
        <v>STATION ON STANDBY</v>
      </c>
      <c r="J39" s="17"/>
    </row>
    <row r="40" spans="1:11" ht="35.15" customHeight="1">
      <c r="A40" s="25"/>
      <c r="B40" s="24"/>
      <c r="C40" s="84" t="s">
        <v>74</v>
      </c>
      <c r="D40" s="8"/>
      <c r="E40" s="9" t="s">
        <v>75</v>
      </c>
      <c r="F40" s="9"/>
      <c r="G40" s="64">
        <v>1.7649999999999999</v>
      </c>
      <c r="H40" s="31" t="s">
        <v>97</v>
      </c>
      <c r="I40" s="17" t="str">
        <f>IF($G40&gt;0,"STATION ON STREAM",IF(AND($G40=0,$H40&gt;0),"STATION ON STANDBY","STATION ON SHUTDOWN"))</f>
        <v>STATION ON STREAM</v>
      </c>
      <c r="J40" s="17"/>
      <c r="K40" s="43"/>
    </row>
    <row r="41" spans="1:11" ht="35.15" customHeight="1">
      <c r="A41" s="25"/>
      <c r="B41" s="24"/>
      <c r="C41" s="88"/>
      <c r="D41" s="8"/>
      <c r="E41" s="13" t="s">
        <v>13</v>
      </c>
      <c r="F41" s="14"/>
      <c r="G41" s="57">
        <f>SUM(G37:G40)</f>
        <v>1.7649999999999999</v>
      </c>
      <c r="H41" s="27"/>
      <c r="I41" s="17"/>
      <c r="J41" s="17"/>
      <c r="K41" s="44"/>
    </row>
    <row r="42" spans="1:11" ht="35.15" customHeight="1">
      <c r="A42" s="32"/>
      <c r="B42" s="24"/>
      <c r="C42" s="69" t="s">
        <v>51</v>
      </c>
      <c r="D42" s="8"/>
      <c r="E42" s="9" t="s">
        <v>77</v>
      </c>
      <c r="F42" s="9"/>
      <c r="G42" s="52">
        <v>1.5429999999999999</v>
      </c>
      <c r="H42" s="35">
        <v>44</v>
      </c>
      <c r="I42" s="17" t="str">
        <f t="shared" ref="I42:I43" si="4">IF($G42&gt;0,"STATION ON STREAM",IF(AND($G42=0,$H42&gt;0),"STATION ON STANDBY","STATION ON SHUTDOWN"))</f>
        <v>STATION ON STREAM</v>
      </c>
      <c r="J42" s="42"/>
    </row>
    <row r="43" spans="1:11" ht="35.15" customHeight="1">
      <c r="A43" s="32"/>
      <c r="B43" s="24"/>
      <c r="C43" s="89"/>
      <c r="D43" s="8"/>
      <c r="E43" s="9" t="s">
        <v>78</v>
      </c>
      <c r="F43" s="9"/>
      <c r="G43" s="53">
        <v>0</v>
      </c>
      <c r="H43" s="35">
        <v>0</v>
      </c>
      <c r="I43" s="17" t="str">
        <f t="shared" si="4"/>
        <v>STATION ON SHUTDOWN</v>
      </c>
      <c r="J43" s="17"/>
    </row>
    <row r="44" spans="1:11" ht="35.15" customHeight="1">
      <c r="A44" s="36"/>
      <c r="B44" s="36"/>
      <c r="C44" s="89"/>
      <c r="D44" s="8"/>
      <c r="E44" s="9" t="s">
        <v>79</v>
      </c>
      <c r="F44" s="9"/>
      <c r="G44" s="53">
        <v>2.09</v>
      </c>
      <c r="H44" s="35">
        <v>15</v>
      </c>
      <c r="I44" s="17" t="str">
        <f>IF($G45&gt;0,"STATION ON STREAM",IF(AND($G45=0,$H44&gt;0),"STATION ON STANDBY","STATION ON SHUTDOWN"))</f>
        <v>STATION ON STANDBY</v>
      </c>
      <c r="J44" s="42"/>
    </row>
    <row r="45" spans="1:11" ht="26.25" customHeight="1">
      <c r="A45" s="36"/>
      <c r="B45" s="36"/>
      <c r="C45" s="90"/>
      <c r="D45" s="8"/>
      <c r="E45" s="9" t="s">
        <v>80</v>
      </c>
      <c r="F45" s="9"/>
      <c r="G45" s="51">
        <v>0</v>
      </c>
      <c r="H45" s="35">
        <v>35</v>
      </c>
      <c r="I45" s="17" t="str">
        <f>IF($G45&gt;0,"STATION ON STREAM",IF(AND($G45=0,$H45&gt;0),"STATION ON STANDBY","STATION ON SHUTDOWN"))</f>
        <v>STATION ON STANDBY</v>
      </c>
      <c r="J45" s="42"/>
    </row>
    <row r="46" spans="1:11" ht="21" customHeight="1">
      <c r="A46" s="82"/>
      <c r="B46" s="83"/>
      <c r="C46" s="30"/>
      <c r="D46" s="12"/>
      <c r="E46" s="13" t="s">
        <v>13</v>
      </c>
      <c r="F46" s="14" t="s">
        <v>62</v>
      </c>
      <c r="G46" s="57">
        <f>SUM(G42:G45)</f>
        <v>3.633</v>
      </c>
      <c r="H46" s="37"/>
      <c r="I46" s="14" t="s">
        <v>81</v>
      </c>
      <c r="J46" s="42"/>
    </row>
    <row r="47" spans="1:11" ht="25.5" customHeight="1">
      <c r="A47" s="38"/>
      <c r="B47" s="38"/>
      <c r="C47" s="30" t="s">
        <v>61</v>
      </c>
      <c r="D47" s="30"/>
      <c r="E47" s="13" t="s">
        <v>62</v>
      </c>
      <c r="F47" s="13" t="s">
        <v>62</v>
      </c>
      <c r="G47" s="57">
        <f>SUM(G33+G36+G41+G46)</f>
        <v>76.824999999999989</v>
      </c>
      <c r="H47" s="37"/>
      <c r="I47" s="13" t="s">
        <v>62</v>
      </c>
      <c r="J47" s="45"/>
    </row>
    <row r="48" spans="1:11" ht="18.5">
      <c r="A48" s="38"/>
      <c r="B48" s="38"/>
      <c r="C48" s="30" t="s">
        <v>82</v>
      </c>
      <c r="D48" s="30"/>
      <c r="E48" s="13" t="s">
        <v>62</v>
      </c>
      <c r="F48" s="13" t="s">
        <v>62</v>
      </c>
      <c r="G48" s="66">
        <f>SUM(G31+G47)</f>
        <v>703.07099999999991</v>
      </c>
      <c r="H48" s="39"/>
      <c r="I48" s="46"/>
      <c r="J48" s="47">
        <f>J14+J47+J7</f>
        <v>776.41125000000011</v>
      </c>
    </row>
    <row r="49" spans="1:10" ht="18.5">
      <c r="A49" s="38"/>
      <c r="B49" s="38"/>
      <c r="C49" s="34"/>
      <c r="D49" s="34"/>
      <c r="E49" s="34"/>
      <c r="F49" s="40"/>
      <c r="G49" s="40"/>
      <c r="H49" s="41"/>
      <c r="I49" s="40"/>
      <c r="J49" s="48"/>
    </row>
    <row r="50" spans="1:10" ht="18.5">
      <c r="C50" s="34"/>
      <c r="D50" s="34"/>
      <c r="E50" s="34"/>
      <c r="F50" s="34"/>
      <c r="G50" s="40"/>
      <c r="H50" s="41"/>
      <c r="I50" s="34"/>
      <c r="J50" s="34"/>
    </row>
  </sheetData>
  <sheetProtection formatCells="0" formatColumns="0" formatRows="0" insertColumns="0" insertRows="0"/>
  <mergeCells count="15">
    <mergeCell ref="A46:B46"/>
    <mergeCell ref="C24:C28"/>
    <mergeCell ref="C29:C30"/>
    <mergeCell ref="C32:C33"/>
    <mergeCell ref="C34:C38"/>
    <mergeCell ref="C40:C41"/>
    <mergeCell ref="C42:C45"/>
    <mergeCell ref="C15:C18"/>
    <mergeCell ref="A19:B23"/>
    <mergeCell ref="C19:C21"/>
    <mergeCell ref="A1:J2"/>
    <mergeCell ref="A3:J3"/>
    <mergeCell ref="A5:B5"/>
    <mergeCell ref="C6:C7"/>
    <mergeCell ref="C8:C14"/>
  </mergeCells>
  <printOptions horizontalCentered="1"/>
  <pageMargins left="0.196850393700787" right="0.196850393700787" top="0" bottom="0" header="0.118110236220472" footer="0.118110236220472"/>
  <pageSetup paperSize="9" scale="40" fitToHeight="0" orientation="portrait" verticalDpi="300" r:id="rId1"/>
  <headerFooter alignWithMargins="0">
    <oddHeader>&amp;C&amp;KFFA500&amp;10&amp;"Calibri"Confidential: Internal Use Only</oddHeader>
    <oddFooter>&amp;C&amp;KFFA500&amp;10&amp;"Calibri"Confidential: Internal Use Only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BA2B9-8808-4262-97AD-06792C0433EF}">
  <sheetPr codeName="Sheet20">
    <pageSetUpPr fitToPage="1"/>
  </sheetPr>
  <dimension ref="A1:K50"/>
  <sheetViews>
    <sheetView showGridLines="0" tabSelected="1" view="pageBreakPreview" topLeftCell="A194" zoomScale="73" zoomScaleNormal="55" zoomScaleSheetLayoutView="73" zoomScalePageLayoutView="10" workbookViewId="0">
      <selection activeCell="A53" sqref="A50:XFD53"/>
    </sheetView>
  </sheetViews>
  <sheetFormatPr defaultColWidth="9" defaultRowHeight="14.5"/>
  <cols>
    <col min="1" max="1" width="15.26953125" customWidth="1"/>
    <col min="2" max="2" width="2.90625" customWidth="1"/>
    <col min="3" max="3" width="18.7265625" customWidth="1"/>
    <col min="4" max="4" width="29.7265625" customWidth="1"/>
    <col min="5" max="5" width="44.08984375" customWidth="1"/>
    <col min="6" max="6" width="22.26953125" customWidth="1"/>
    <col min="7" max="7" width="21" customWidth="1"/>
    <col min="8" max="8" width="23" style="1" customWidth="1"/>
    <col min="9" max="9" width="38.6328125" customWidth="1"/>
    <col min="10" max="10" width="20.36328125" customWidth="1"/>
    <col min="14" max="14" width="8.7265625" customWidth="1"/>
    <col min="15" max="15" width="8.08984375" customWidth="1"/>
    <col min="17" max="17" width="9.26953125" customWidth="1"/>
    <col min="21" max="21" width="9.08984375" customWidth="1"/>
  </cols>
  <sheetData>
    <row r="1" spans="1:10" ht="59.25" customHeight="1">
      <c r="A1" s="75" t="s">
        <v>0</v>
      </c>
      <c r="B1" s="75"/>
      <c r="C1" s="75"/>
      <c r="D1" s="75"/>
      <c r="E1" s="75"/>
      <c r="F1" s="75"/>
      <c r="G1" s="75"/>
      <c r="H1" s="75"/>
      <c r="I1" s="75"/>
      <c r="J1" s="75"/>
    </row>
    <row r="2" spans="1:10" ht="18.75" customHeight="1">
      <c r="A2" s="75"/>
      <c r="B2" s="75"/>
      <c r="C2" s="75"/>
      <c r="D2" s="75"/>
      <c r="E2" s="75"/>
      <c r="F2" s="75"/>
      <c r="G2" s="75"/>
      <c r="H2" s="75"/>
      <c r="I2" s="75"/>
      <c r="J2" s="75"/>
    </row>
    <row r="3" spans="1:10" ht="33" customHeight="1">
      <c r="A3" s="76" t="s">
        <v>242</v>
      </c>
      <c r="B3" s="77"/>
      <c r="C3" s="77"/>
      <c r="D3" s="77"/>
      <c r="E3" s="77"/>
      <c r="F3" s="77"/>
      <c r="G3" s="77"/>
      <c r="H3" s="77"/>
      <c r="I3" s="77"/>
      <c r="J3" s="77"/>
    </row>
    <row r="4" spans="1:10" ht="9.75" customHeight="1">
      <c r="A4" s="2"/>
      <c r="B4" s="2"/>
      <c r="C4" s="2"/>
      <c r="D4" s="2"/>
      <c r="E4" s="2"/>
      <c r="F4" s="2"/>
      <c r="G4" s="2"/>
      <c r="H4" s="3"/>
      <c r="I4" s="2" t="s">
        <v>1</v>
      </c>
      <c r="J4" s="2"/>
    </row>
    <row r="5" spans="1:10" ht="43">
      <c r="A5" s="78" t="s">
        <v>2</v>
      </c>
      <c r="B5" s="79"/>
      <c r="C5" s="4" t="s">
        <v>3</v>
      </c>
      <c r="D5" s="4"/>
      <c r="E5" s="4" t="s">
        <v>4</v>
      </c>
      <c r="F5" s="4" t="s">
        <v>5</v>
      </c>
      <c r="G5" s="4" t="s">
        <v>6</v>
      </c>
      <c r="H5" s="5" t="s">
        <v>7</v>
      </c>
      <c r="I5" s="4" t="s">
        <v>8</v>
      </c>
      <c r="J5" s="18" t="s">
        <v>9</v>
      </c>
    </row>
    <row r="6" spans="1:10" ht="40.5" customHeight="1">
      <c r="A6" s="6"/>
      <c r="B6" s="7"/>
      <c r="C6" s="80" t="s">
        <v>10</v>
      </c>
      <c r="D6" s="8"/>
      <c r="E6" s="9" t="s">
        <v>11</v>
      </c>
      <c r="F6" s="54">
        <v>0</v>
      </c>
      <c r="G6" s="54">
        <v>58.194000000000003</v>
      </c>
      <c r="H6" s="55" t="s">
        <v>12</v>
      </c>
      <c r="I6" s="17" t="str">
        <f>IF($G6&gt;0,"STATION ON STREAM",IF(AND($G6=0,$H6&gt;0),"STATION ON STANDBY","STATION ON SHUTDOWN"))</f>
        <v>STATION ON STREAM</v>
      </c>
      <c r="J6" s="56">
        <v>223.04</v>
      </c>
    </row>
    <row r="7" spans="1:10" ht="35.15" customHeight="1">
      <c r="A7" s="6"/>
      <c r="B7" s="7"/>
      <c r="C7" s="81"/>
      <c r="D7" s="12"/>
      <c r="E7" s="13" t="s">
        <v>13</v>
      </c>
      <c r="F7" s="14"/>
      <c r="G7" s="57">
        <f>G6</f>
        <v>58.194000000000003</v>
      </c>
      <c r="H7" s="15"/>
      <c r="I7" s="17"/>
      <c r="J7" s="19">
        <f>J6</f>
        <v>223.04</v>
      </c>
    </row>
    <row r="8" spans="1:10" ht="29.25" customHeight="1">
      <c r="A8" s="6"/>
      <c r="B8" s="7"/>
      <c r="C8" s="81"/>
      <c r="D8" s="12"/>
      <c r="E8" s="9" t="s">
        <v>19</v>
      </c>
      <c r="F8" s="10">
        <v>25</v>
      </c>
      <c r="G8" s="58">
        <v>27.934999999999999</v>
      </c>
      <c r="H8" s="16" t="s">
        <v>154</v>
      </c>
      <c r="I8" s="17" t="str">
        <f>IF($G8&gt;0,"STATION ON STREAM",IF(AND($G8=0,$H9&gt;0),"STATION ON STANDBY","STATION ON SHUTDOWN"))</f>
        <v>STATION ON STREAM</v>
      </c>
      <c r="J8" s="56">
        <v>107.23</v>
      </c>
    </row>
    <row r="9" spans="1:10" ht="35.15" customHeight="1">
      <c r="A9" s="6"/>
      <c r="B9" s="7"/>
      <c r="C9" s="81"/>
      <c r="D9" s="12"/>
      <c r="E9" s="9" t="s">
        <v>20</v>
      </c>
      <c r="F9" s="10">
        <v>13</v>
      </c>
      <c r="G9" s="58">
        <v>5.0670000000000002</v>
      </c>
      <c r="H9" s="16" t="s">
        <v>223</v>
      </c>
      <c r="I9" s="17" t="str">
        <f t="shared" ref="I9:I13" si="0">IF($G9&gt;0,"STATION ON STREAM",IF(AND($G9=0,$H9&gt;0),"STATION ON STANDBY","STATION ON SHUTDOWN"))</f>
        <v>STATION ON STREAM</v>
      </c>
      <c r="J9" s="56">
        <v>93.75</v>
      </c>
    </row>
    <row r="10" spans="1:10" ht="35.15" customHeight="1">
      <c r="A10" s="6"/>
      <c r="B10" s="7"/>
      <c r="C10" s="81"/>
      <c r="D10" s="12"/>
      <c r="E10" s="9" t="s">
        <v>22</v>
      </c>
      <c r="F10" s="21">
        <v>17</v>
      </c>
      <c r="G10" s="58">
        <v>12.371</v>
      </c>
      <c r="H10" s="16" t="s">
        <v>206</v>
      </c>
      <c r="I10" s="17" t="str">
        <f t="shared" si="0"/>
        <v>STATION ON STREAM</v>
      </c>
      <c r="J10" s="56">
        <v>96.17</v>
      </c>
    </row>
    <row r="11" spans="1:10" ht="35.15" customHeight="1">
      <c r="A11" s="6"/>
      <c r="B11" s="7"/>
      <c r="C11" s="81"/>
      <c r="D11" s="12"/>
      <c r="E11" s="9" t="s">
        <v>23</v>
      </c>
      <c r="F11" s="10">
        <v>25</v>
      </c>
      <c r="G11" s="58">
        <v>37.283999999999999</v>
      </c>
      <c r="H11" s="16" t="s">
        <v>221</v>
      </c>
      <c r="I11" s="17" t="str">
        <f t="shared" si="0"/>
        <v>STATION ON STREAM</v>
      </c>
      <c r="J11" s="56">
        <v>125.6875</v>
      </c>
    </row>
    <row r="12" spans="1:10" ht="35.15" customHeight="1">
      <c r="A12" s="6"/>
      <c r="B12" s="7"/>
      <c r="C12" s="81"/>
      <c r="D12" s="12"/>
      <c r="E12" s="9" t="s">
        <v>24</v>
      </c>
      <c r="F12" s="10">
        <v>0</v>
      </c>
      <c r="G12" s="58">
        <v>0</v>
      </c>
      <c r="H12" s="16" t="s">
        <v>222</v>
      </c>
      <c r="I12" s="17" t="str">
        <f t="shared" si="0"/>
        <v>STATION ON STANDBY</v>
      </c>
      <c r="J12" s="56">
        <v>0</v>
      </c>
    </row>
    <row r="13" spans="1:10" ht="35.15" customHeight="1">
      <c r="A13" s="6"/>
      <c r="B13" s="7"/>
      <c r="C13" s="81"/>
      <c r="D13" s="12"/>
      <c r="E13" s="9" t="s">
        <v>25</v>
      </c>
      <c r="F13" s="10">
        <v>64.83</v>
      </c>
      <c r="G13" s="58">
        <v>64.629000000000005</v>
      </c>
      <c r="H13" s="11" t="s">
        <v>224</v>
      </c>
      <c r="I13" s="17" t="str">
        <f t="shared" si="0"/>
        <v>STATION ON STREAM</v>
      </c>
      <c r="J13" s="56">
        <v>276.27</v>
      </c>
    </row>
    <row r="14" spans="1:10" ht="35.15" customHeight="1">
      <c r="A14" s="6"/>
      <c r="B14" s="7"/>
      <c r="C14" s="81"/>
      <c r="D14" s="12"/>
      <c r="E14" s="13" t="s">
        <v>13</v>
      </c>
      <c r="F14" s="14"/>
      <c r="G14" s="57">
        <f>SUM(G8:G13)</f>
        <v>147.286</v>
      </c>
      <c r="H14" s="15"/>
      <c r="I14" s="17"/>
      <c r="J14" s="19">
        <f>SUM(J8:J13)</f>
        <v>699.10750000000007</v>
      </c>
    </row>
    <row r="15" spans="1:10" ht="35.15" customHeight="1">
      <c r="A15" s="6"/>
      <c r="B15" s="7"/>
      <c r="C15" s="69"/>
      <c r="D15" s="8"/>
      <c r="E15" s="9" t="s">
        <v>27</v>
      </c>
      <c r="F15" s="21"/>
      <c r="G15" s="21">
        <v>60.6</v>
      </c>
      <c r="H15" s="11" t="s">
        <v>139</v>
      </c>
      <c r="I15" s="17" t="str">
        <f t="shared" ref="I15:I18" si="1">IF($G15&gt;0,"STATION ON STREAM",IF(AND($G15=0,$H15&gt;0),"STATION ON STANDBY","STATION ON SHUTDOWN"))</f>
        <v>STATION ON STREAM</v>
      </c>
      <c r="J15" s="17"/>
    </row>
    <row r="16" spans="1:10" ht="35.15" customHeight="1">
      <c r="A16" s="6"/>
      <c r="B16" s="7"/>
      <c r="C16" s="70"/>
      <c r="D16" s="12"/>
      <c r="E16" s="9" t="s">
        <v>29</v>
      </c>
      <c r="F16" s="21"/>
      <c r="G16" s="58">
        <v>11.744999999999999</v>
      </c>
      <c r="H16" s="11" t="s">
        <v>30</v>
      </c>
      <c r="I16" s="17" t="str">
        <f t="shared" si="1"/>
        <v>STATION ON STREAM</v>
      </c>
      <c r="J16" s="17"/>
    </row>
    <row r="17" spans="1:10" ht="35.15" customHeight="1">
      <c r="A17" s="6"/>
      <c r="B17" s="7"/>
      <c r="C17" s="70"/>
      <c r="D17" s="12"/>
      <c r="E17" s="9" t="s">
        <v>31</v>
      </c>
      <c r="F17" s="21"/>
      <c r="G17" s="58">
        <v>1.7000000000000001E-2</v>
      </c>
      <c r="H17" s="11" t="s">
        <v>87</v>
      </c>
      <c r="I17" s="17" t="str">
        <f t="shared" si="1"/>
        <v>STATION ON STREAM</v>
      </c>
      <c r="J17" s="17"/>
    </row>
    <row r="18" spans="1:10" ht="35.15" customHeight="1">
      <c r="A18" s="6"/>
      <c r="B18" s="7"/>
      <c r="C18" s="70"/>
      <c r="D18" s="12"/>
      <c r="E18" s="9" t="s">
        <v>33</v>
      </c>
      <c r="F18" s="21"/>
      <c r="G18" s="58">
        <v>31.573</v>
      </c>
      <c r="H18" s="11" t="s">
        <v>89</v>
      </c>
      <c r="I18" s="17" t="str">
        <f t="shared" si="1"/>
        <v>STATION ON STREAM</v>
      </c>
      <c r="J18" s="17"/>
    </row>
    <row r="19" spans="1:10" ht="34.5" customHeight="1">
      <c r="A19" s="72"/>
      <c r="B19" s="73"/>
      <c r="C19" s="74"/>
      <c r="D19" s="12"/>
      <c r="E19" s="17" t="s">
        <v>47</v>
      </c>
      <c r="F19" s="49"/>
      <c r="G19" s="59">
        <v>0</v>
      </c>
      <c r="H19" s="16" t="s">
        <v>135</v>
      </c>
      <c r="I19" s="17" t="str">
        <f t="shared" ref="I19:I20" si="2">IF($G19&gt;0,"STATION ON STREAM",IF(AND($G19=0,$H19&gt;0),"STATION ON STANDBY","STATION ON SHUTDOWN"))</f>
        <v>STATION ON STANDBY</v>
      </c>
      <c r="J19" s="17"/>
    </row>
    <row r="20" spans="1:10" ht="34.5" customHeight="1">
      <c r="A20" s="72"/>
      <c r="B20" s="73"/>
      <c r="C20" s="74"/>
      <c r="D20" s="12"/>
      <c r="E20" s="17" t="s">
        <v>49</v>
      </c>
      <c r="F20" s="49"/>
      <c r="G20" s="59">
        <v>6.0000000000000001E-3</v>
      </c>
      <c r="H20" s="16" t="s">
        <v>95</v>
      </c>
      <c r="I20" s="17" t="str">
        <f t="shared" si="2"/>
        <v>STATION ON STREAM</v>
      </c>
      <c r="J20" s="17"/>
    </row>
    <row r="21" spans="1:10" ht="35.15" customHeight="1">
      <c r="A21" s="72"/>
      <c r="B21" s="73"/>
      <c r="C21" s="71"/>
      <c r="D21" s="12"/>
      <c r="E21" s="13" t="s">
        <v>13</v>
      </c>
      <c r="F21" s="14"/>
      <c r="G21" s="60">
        <f>SUM(G15:G20)</f>
        <v>103.941</v>
      </c>
      <c r="H21" s="20"/>
      <c r="I21" s="17"/>
      <c r="J21" s="17"/>
    </row>
    <row r="22" spans="1:10" ht="35.15" customHeight="1">
      <c r="A22" s="72"/>
      <c r="B22" s="73"/>
      <c r="C22" s="68"/>
      <c r="D22" s="12"/>
      <c r="E22" s="9" t="s">
        <v>50</v>
      </c>
      <c r="F22" s="21"/>
      <c r="G22" s="21">
        <v>1.87</v>
      </c>
      <c r="H22" s="21" t="s">
        <v>12</v>
      </c>
      <c r="I22" s="17" t="str">
        <f>IF($G22&gt;0,"STATION ON STREAM",IF(AND($G22=0,$H22&gt;0),"STATION ON STANDBY","STATION ON SHUTDOWN"))</f>
        <v>STATION ON STREAM</v>
      </c>
      <c r="J22" s="17"/>
    </row>
    <row r="23" spans="1:10" ht="35.15" customHeight="1">
      <c r="A23" s="72"/>
      <c r="B23" s="73"/>
      <c r="C23" s="68"/>
      <c r="D23" s="12"/>
      <c r="E23" s="13" t="s">
        <v>13</v>
      </c>
      <c r="F23" s="14"/>
      <c r="G23" s="61">
        <f>SUM(G22)</f>
        <v>1.87</v>
      </c>
      <c r="H23" s="23"/>
      <c r="I23" s="17"/>
      <c r="J23" s="17"/>
    </row>
    <row r="24" spans="1:10" ht="35.15" customHeight="1">
      <c r="A24" s="6"/>
      <c r="B24" s="24"/>
      <c r="C24" s="84" t="s">
        <v>51</v>
      </c>
      <c r="D24" s="12"/>
      <c r="E24" s="9" t="s">
        <v>52</v>
      </c>
      <c r="F24" s="50">
        <v>50</v>
      </c>
      <c r="G24" s="62">
        <v>44.997999999999998</v>
      </c>
      <c r="H24" s="22">
        <v>28</v>
      </c>
      <c r="I24" s="17" t="str">
        <f t="shared" ref="I24:I27" si="3">IF($G24&gt;0,"STATION ON STREAM",IF(AND($G24=0,$H24&gt;0),"STATION ON STANDBY","STATION ON SHUTDOWN"))</f>
        <v>STATION ON STREAM</v>
      </c>
      <c r="J24" s="17"/>
    </row>
    <row r="25" spans="1:10" ht="35.15" customHeight="1">
      <c r="A25" s="25"/>
      <c r="B25" s="24"/>
      <c r="C25" s="85"/>
      <c r="D25" s="12"/>
      <c r="E25" s="9" t="s">
        <v>53</v>
      </c>
      <c r="F25" s="50">
        <v>1</v>
      </c>
      <c r="G25" s="62">
        <v>0.97499999999999998</v>
      </c>
      <c r="H25" s="22" t="s">
        <v>54</v>
      </c>
      <c r="I25" s="17" t="str">
        <f t="shared" si="3"/>
        <v>STATION ON STREAM</v>
      </c>
      <c r="J25" s="17"/>
    </row>
    <row r="26" spans="1:10" ht="35.15" customHeight="1">
      <c r="A26" s="25"/>
      <c r="B26" s="24"/>
      <c r="C26" s="85"/>
      <c r="D26" s="8"/>
      <c r="E26" s="9" t="s">
        <v>55</v>
      </c>
      <c r="F26" s="50">
        <v>180</v>
      </c>
      <c r="G26" s="62">
        <v>175.60499999999999</v>
      </c>
      <c r="H26" s="22" t="s">
        <v>225</v>
      </c>
      <c r="I26" s="17" t="str">
        <f t="shared" si="3"/>
        <v>STATION ON STREAM</v>
      </c>
      <c r="J26" s="42"/>
    </row>
    <row r="27" spans="1:10" ht="35.15" customHeight="1">
      <c r="A27" s="25"/>
      <c r="B27" s="24"/>
      <c r="C27" s="86"/>
      <c r="D27" s="12"/>
      <c r="E27" s="9" t="s">
        <v>57</v>
      </c>
      <c r="F27" s="50">
        <v>0.3</v>
      </c>
      <c r="G27" s="62">
        <v>0.39500000000000002</v>
      </c>
      <c r="H27" s="22" t="s">
        <v>58</v>
      </c>
      <c r="I27" s="17" t="str">
        <f t="shared" si="3"/>
        <v>STATION ON STREAM</v>
      </c>
      <c r="J27" s="21">
        <v>0</v>
      </c>
    </row>
    <row r="28" spans="1:10" ht="35.15" customHeight="1">
      <c r="A28" s="25"/>
      <c r="B28" s="24"/>
      <c r="C28" s="87"/>
      <c r="D28" s="8"/>
      <c r="E28" s="13" t="s">
        <v>13</v>
      </c>
      <c r="F28" s="26"/>
      <c r="G28" s="57">
        <f>SUM(G24+G25+G26+G27)</f>
        <v>221.97299999999998</v>
      </c>
      <c r="H28" s="15"/>
      <c r="I28" s="17"/>
      <c r="J28" s="21"/>
    </row>
    <row r="29" spans="1:10" ht="35.15" customHeight="1">
      <c r="A29" s="25"/>
      <c r="B29" s="24"/>
      <c r="C29" s="84" t="s">
        <v>59</v>
      </c>
      <c r="D29" s="12"/>
      <c r="E29" s="9" t="s">
        <v>60</v>
      </c>
      <c r="F29" s="21">
        <v>115</v>
      </c>
      <c r="G29" s="58">
        <v>121.67400000000001</v>
      </c>
      <c r="H29" s="11">
        <v>30</v>
      </c>
      <c r="I29" s="17" t="str">
        <f>IF($G29&gt;0,"STATION ON STREAM",IF(AND($G29=0,$H29&gt;0),"STATION ON STANDBY","STATION ON SHUTDOWN"))</f>
        <v>STATION ON STREAM</v>
      </c>
      <c r="J29" s="21">
        <f>G35*4</f>
        <v>0</v>
      </c>
    </row>
    <row r="30" spans="1:10" ht="35.15" customHeight="1">
      <c r="A30" s="28"/>
      <c r="B30" s="29"/>
      <c r="C30" s="87"/>
      <c r="D30" s="12"/>
      <c r="E30" s="13" t="s">
        <v>13</v>
      </c>
      <c r="F30" s="14"/>
      <c r="G30" s="63">
        <f>SUM(G29)</f>
        <v>121.67400000000001</v>
      </c>
      <c r="H30" s="27"/>
      <c r="I30" s="17"/>
      <c r="J30" s="17"/>
    </row>
    <row r="31" spans="1:10" ht="35.15" customHeight="1">
      <c r="A31" s="25"/>
      <c r="B31" s="24"/>
      <c r="C31" s="30" t="s">
        <v>61</v>
      </c>
      <c r="D31" s="30"/>
      <c r="E31" s="13" t="s">
        <v>62</v>
      </c>
      <c r="F31" s="13"/>
      <c r="G31" s="66">
        <f>SUM(G7+G14+G21+G23+G28+G30)</f>
        <v>654.93799999999999</v>
      </c>
      <c r="H31" s="27"/>
      <c r="I31" s="17"/>
      <c r="J31" s="17"/>
    </row>
    <row r="32" spans="1:10" ht="34.5" customHeight="1">
      <c r="A32" s="32"/>
      <c r="B32" s="24"/>
      <c r="C32" s="84" t="s">
        <v>63</v>
      </c>
      <c r="D32" s="12"/>
      <c r="E32" s="9" t="s">
        <v>64</v>
      </c>
      <c r="F32" s="9"/>
      <c r="G32" s="67">
        <v>29.097999999999999</v>
      </c>
      <c r="H32" s="31" t="s">
        <v>65</v>
      </c>
      <c r="I32" s="17" t="str">
        <f>IF($G32&gt;0,"STATION ON STREAM",IF(AND($G32=0,$H32&gt;0),"STATION ON STANDBY","STATION ON SHUTDOWN"))</f>
        <v>STATION ON STREAM</v>
      </c>
      <c r="J32" s="17"/>
    </row>
    <row r="33" spans="1:11" ht="35.15" customHeight="1">
      <c r="A33" s="25"/>
      <c r="B33" s="24"/>
      <c r="C33" s="88"/>
      <c r="D33" s="8"/>
      <c r="E33" s="13" t="s">
        <v>13</v>
      </c>
      <c r="F33" s="14"/>
      <c r="G33" s="57">
        <f>SUM(G32)</f>
        <v>29.097999999999999</v>
      </c>
      <c r="H33" s="27"/>
      <c r="I33" s="17"/>
      <c r="J33" s="17"/>
    </row>
    <row r="34" spans="1:11" ht="35.15" customHeight="1">
      <c r="A34" s="25"/>
      <c r="B34" s="24"/>
      <c r="C34" s="84" t="s">
        <v>14</v>
      </c>
      <c r="D34" s="8"/>
      <c r="E34" s="9" t="s">
        <v>66</v>
      </c>
      <c r="F34" s="9"/>
      <c r="G34" s="9">
        <v>1.109</v>
      </c>
      <c r="H34" s="31" t="s">
        <v>67</v>
      </c>
      <c r="I34" s="17" t="str">
        <f>IF($G34&gt;0,"STATION ON STREAM",IF(AND($G34=0,$H34&gt;0),"STATION ON STANDBY","STATION ON SHUTDOWN"))</f>
        <v>STATION ON STREAM</v>
      </c>
      <c r="J34" s="17"/>
    </row>
    <row r="35" spans="1:11" ht="35.15" customHeight="1">
      <c r="A35" s="25"/>
      <c r="B35" s="24"/>
      <c r="C35" s="85"/>
      <c r="D35" s="12"/>
      <c r="E35" s="9" t="s">
        <v>68</v>
      </c>
      <c r="F35" s="9"/>
      <c r="G35" s="65">
        <v>0</v>
      </c>
      <c r="H35" s="31" t="s">
        <v>65</v>
      </c>
      <c r="I35" s="17" t="str">
        <f>IF($G35&gt;0,"STATION ON STREAM",IF(AND($G35=0,$H35&gt;0),"STATION ON STANDBY","STATION ON SHUTDOWN"))</f>
        <v>STATION ON STANDBY</v>
      </c>
      <c r="J35" s="17"/>
    </row>
    <row r="36" spans="1:11" ht="35.25" customHeight="1">
      <c r="A36" s="25"/>
      <c r="B36" s="24"/>
      <c r="C36" s="85"/>
      <c r="D36" s="12"/>
      <c r="E36" s="13" t="s">
        <v>13</v>
      </c>
      <c r="F36" s="14"/>
      <c r="G36" s="57">
        <f>SUM(G34:G35)</f>
        <v>1.109</v>
      </c>
      <c r="H36" s="27"/>
      <c r="I36" s="17"/>
      <c r="J36" s="17"/>
    </row>
    <row r="37" spans="1:11" ht="35.15" customHeight="1">
      <c r="A37" s="25"/>
      <c r="B37" s="24"/>
      <c r="C37" s="85"/>
      <c r="D37" s="12"/>
      <c r="E37" s="9" t="s">
        <v>69</v>
      </c>
      <c r="F37" s="9"/>
      <c r="G37" s="64">
        <v>0</v>
      </c>
      <c r="H37" s="31" t="s">
        <v>65</v>
      </c>
      <c r="I37" s="17" t="str">
        <f>IF($G37&gt;0,"STATION ON STREAM",IF(AND($G37=0,$H37&gt;0),"STATION ON STANDBY","STATION ON SHUTDOWN"))</f>
        <v>STATION ON STANDBY</v>
      </c>
      <c r="J37" s="17"/>
    </row>
    <row r="38" spans="1:11" ht="35.15" customHeight="1">
      <c r="A38" s="33" t="s">
        <v>70</v>
      </c>
      <c r="B38" s="24"/>
      <c r="C38" s="87"/>
      <c r="D38" s="12"/>
      <c r="E38" s="9" t="s">
        <v>71</v>
      </c>
      <c r="F38" s="9"/>
      <c r="G38" s="51">
        <v>0</v>
      </c>
      <c r="H38" s="31" t="s">
        <v>136</v>
      </c>
      <c r="I38" s="17" t="str">
        <f>IF($G38&gt;0,"STATION ON STREAM",IF(AND($G38=0,$H38&gt;0),"STATION ON STANDBY","STATION ON SHUTDOWN"))</f>
        <v>STATION ON STANDBY</v>
      </c>
      <c r="J38" s="17"/>
    </row>
    <row r="39" spans="1:11" ht="35.15" customHeight="1">
      <c r="A39" s="25"/>
      <c r="B39" s="24"/>
      <c r="C39" s="68"/>
      <c r="D39" s="12"/>
      <c r="E39" s="9" t="s">
        <v>72</v>
      </c>
      <c r="F39" s="9"/>
      <c r="G39" s="64">
        <v>0</v>
      </c>
      <c r="H39" s="31" t="s">
        <v>73</v>
      </c>
      <c r="I39" s="17" t="str">
        <f>IF($G39&gt;0,"STATION ON STREAM",IF(AND($G39=0,$H39&gt;0),"STATION ON STANDBY","STATION ON SHUTDOWN"))</f>
        <v>STATION ON STANDBY</v>
      </c>
      <c r="J39" s="17"/>
    </row>
    <row r="40" spans="1:11" ht="35.15" customHeight="1">
      <c r="A40" s="25"/>
      <c r="B40" s="24"/>
      <c r="C40" s="84" t="s">
        <v>74</v>
      </c>
      <c r="D40" s="8"/>
      <c r="E40" s="9" t="s">
        <v>75</v>
      </c>
      <c r="F40" s="9"/>
      <c r="G40" s="64">
        <v>1.8560000000000001</v>
      </c>
      <c r="H40" s="31" t="s">
        <v>97</v>
      </c>
      <c r="I40" s="17" t="str">
        <f>IF($G40&gt;0,"STATION ON STREAM",IF(AND($G40=0,$H40&gt;0),"STATION ON STANDBY","STATION ON SHUTDOWN"))</f>
        <v>STATION ON STREAM</v>
      </c>
      <c r="J40" s="17"/>
      <c r="K40" s="43"/>
    </row>
    <row r="41" spans="1:11" ht="35.15" customHeight="1">
      <c r="A41" s="25"/>
      <c r="B41" s="24"/>
      <c r="C41" s="88"/>
      <c r="D41" s="8"/>
      <c r="E41" s="13" t="s">
        <v>13</v>
      </c>
      <c r="F41" s="14"/>
      <c r="G41" s="57">
        <f>SUM(G37:G40)</f>
        <v>1.8560000000000001</v>
      </c>
      <c r="H41" s="27"/>
      <c r="I41" s="17"/>
      <c r="J41" s="17"/>
      <c r="K41" s="44"/>
    </row>
    <row r="42" spans="1:11" ht="35.15" customHeight="1">
      <c r="A42" s="32"/>
      <c r="B42" s="24"/>
      <c r="C42" s="69" t="s">
        <v>51</v>
      </c>
      <c r="D42" s="8"/>
      <c r="E42" s="9" t="s">
        <v>77</v>
      </c>
      <c r="F42" s="9"/>
      <c r="G42" s="52">
        <v>1.49</v>
      </c>
      <c r="H42" s="35">
        <v>44</v>
      </c>
      <c r="I42" s="17" t="str">
        <f t="shared" ref="I42:I43" si="4">IF($G42&gt;0,"STATION ON STREAM",IF(AND($G42=0,$H42&gt;0),"STATION ON STANDBY","STATION ON SHUTDOWN"))</f>
        <v>STATION ON STREAM</v>
      </c>
      <c r="J42" s="42"/>
    </row>
    <row r="43" spans="1:11" ht="35.15" customHeight="1">
      <c r="A43" s="32"/>
      <c r="B43" s="24"/>
      <c r="C43" s="89"/>
      <c r="D43" s="8"/>
      <c r="E43" s="9" t="s">
        <v>78</v>
      </c>
      <c r="F43" s="9"/>
      <c r="G43" s="53">
        <v>0</v>
      </c>
      <c r="H43" s="35">
        <v>0</v>
      </c>
      <c r="I43" s="17" t="str">
        <f t="shared" si="4"/>
        <v>STATION ON SHUTDOWN</v>
      </c>
      <c r="J43" s="17"/>
    </row>
    <row r="44" spans="1:11" ht="35.15" customHeight="1">
      <c r="A44" s="36"/>
      <c r="B44" s="36"/>
      <c r="C44" s="89"/>
      <c r="D44" s="8"/>
      <c r="E44" s="9" t="s">
        <v>79</v>
      </c>
      <c r="F44" s="9"/>
      <c r="G44" s="53" t="s">
        <v>156</v>
      </c>
      <c r="H44" s="35">
        <v>15</v>
      </c>
      <c r="I44" s="17" t="str">
        <f>IF($G45&gt;0,"STATION ON STREAM",IF(AND($G45=0,$H44&gt;0),"STATION ON STANDBY","STATION ON SHUTDOWN"))</f>
        <v>STATION ON STANDBY</v>
      </c>
      <c r="J44" s="42"/>
    </row>
    <row r="45" spans="1:11" ht="26.25" customHeight="1">
      <c r="A45" s="36"/>
      <c r="B45" s="36"/>
      <c r="C45" s="90"/>
      <c r="D45" s="8"/>
      <c r="E45" s="9" t="s">
        <v>80</v>
      </c>
      <c r="F45" s="9"/>
      <c r="G45" s="51">
        <v>0</v>
      </c>
      <c r="H45" s="35">
        <v>35</v>
      </c>
      <c r="I45" s="17" t="str">
        <f>IF($G45&gt;0,"STATION ON STREAM",IF(AND($G45=0,$H45&gt;0),"STATION ON STANDBY","STATION ON SHUTDOWN"))</f>
        <v>STATION ON STANDBY</v>
      </c>
      <c r="J45" s="42"/>
    </row>
    <row r="46" spans="1:11" ht="21" customHeight="1">
      <c r="A46" s="82"/>
      <c r="B46" s="83"/>
      <c r="C46" s="30"/>
      <c r="D46" s="12"/>
      <c r="E46" s="13" t="s">
        <v>13</v>
      </c>
      <c r="F46" s="14" t="s">
        <v>62</v>
      </c>
      <c r="G46" s="57">
        <f>SUM(G42:G45)</f>
        <v>1.49</v>
      </c>
      <c r="H46" s="37"/>
      <c r="I46" s="14" t="s">
        <v>81</v>
      </c>
      <c r="J46" s="42"/>
    </row>
    <row r="47" spans="1:11" ht="25.5" customHeight="1">
      <c r="A47" s="38"/>
      <c r="B47" s="38"/>
      <c r="C47" s="30" t="s">
        <v>61</v>
      </c>
      <c r="D47" s="30"/>
      <c r="E47" s="13" t="s">
        <v>62</v>
      </c>
      <c r="F47" s="13" t="s">
        <v>62</v>
      </c>
      <c r="G47" s="57">
        <f>SUM(G33+G36+G41+G46)</f>
        <v>33.553000000000004</v>
      </c>
      <c r="H47" s="37"/>
      <c r="I47" s="13" t="s">
        <v>62</v>
      </c>
      <c r="J47" s="45"/>
    </row>
    <row r="48" spans="1:11" ht="18.5">
      <c r="A48" s="38"/>
      <c r="B48" s="38"/>
      <c r="C48" s="30" t="s">
        <v>82</v>
      </c>
      <c r="D48" s="30"/>
      <c r="E48" s="13" t="s">
        <v>62</v>
      </c>
      <c r="F48" s="13" t="s">
        <v>62</v>
      </c>
      <c r="G48" s="66">
        <f>SUM(G31+G47)</f>
        <v>688.49099999999999</v>
      </c>
      <c r="H48" s="39"/>
      <c r="I48" s="46"/>
      <c r="J48" s="47">
        <f>J14+J47+J7</f>
        <v>922.14750000000004</v>
      </c>
    </row>
    <row r="49" spans="1:10" ht="18.5">
      <c r="A49" s="38"/>
      <c r="B49" s="38"/>
      <c r="C49" s="34"/>
      <c r="D49" s="34"/>
      <c r="E49" s="34"/>
      <c r="F49" s="40"/>
      <c r="G49" s="40"/>
      <c r="H49" s="41"/>
      <c r="I49" s="40"/>
      <c r="J49" s="48"/>
    </row>
    <row r="50" spans="1:10" ht="18.5">
      <c r="C50" s="34"/>
      <c r="D50" s="34"/>
      <c r="E50" s="34"/>
      <c r="F50" s="34"/>
      <c r="G50" s="40"/>
      <c r="H50" s="41"/>
      <c r="I50" s="34"/>
      <c r="J50" s="34"/>
    </row>
  </sheetData>
  <sheetProtection formatCells="0" formatColumns="0" formatRows="0" insertColumns="0" insertRows="0"/>
  <mergeCells count="15">
    <mergeCell ref="C15:C18"/>
    <mergeCell ref="A19:B23"/>
    <mergeCell ref="C19:C21"/>
    <mergeCell ref="A1:J2"/>
    <mergeCell ref="A3:J3"/>
    <mergeCell ref="A5:B5"/>
    <mergeCell ref="C6:C7"/>
    <mergeCell ref="C8:C14"/>
    <mergeCell ref="A46:B46"/>
    <mergeCell ref="C24:C28"/>
    <mergeCell ref="C29:C30"/>
    <mergeCell ref="C32:C33"/>
    <mergeCell ref="C34:C38"/>
    <mergeCell ref="C40:C41"/>
    <mergeCell ref="C42:C45"/>
  </mergeCells>
  <printOptions horizontalCentered="1"/>
  <pageMargins left="0.196850393700787" right="0.196850393700787" top="0" bottom="0" header="0.118110236220472" footer="0.118110236220472"/>
  <pageSetup paperSize="9" scale="40" fitToHeight="0" orientation="portrait" verticalDpi="300" r:id="rId1"/>
  <headerFooter alignWithMargins="0">
    <oddHeader>&amp;C&amp;KFFA500&amp;10&amp;"Calibri"Confidential: Internal Use Only</oddHeader>
    <oddFooter>&amp;C&amp;KFFA500&amp;10&amp;"Calibri"Confidential: Internal Use Only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FE7F2-409C-499C-97A7-D6113EBF7BB9}">
  <sheetPr codeName="Sheet21">
    <pageSetUpPr fitToPage="1"/>
  </sheetPr>
  <dimension ref="A1:K50"/>
  <sheetViews>
    <sheetView showGridLines="0" tabSelected="1" view="pageBreakPreview" topLeftCell="A190" zoomScale="73" zoomScaleNormal="55" zoomScaleSheetLayoutView="73" zoomScalePageLayoutView="10" workbookViewId="0">
      <selection activeCell="A53" sqref="A50:XFD53"/>
    </sheetView>
  </sheetViews>
  <sheetFormatPr defaultColWidth="9" defaultRowHeight="14.5"/>
  <cols>
    <col min="1" max="1" width="15.26953125" customWidth="1"/>
    <col min="2" max="2" width="2.90625" customWidth="1"/>
    <col min="3" max="3" width="18.7265625" customWidth="1"/>
    <col min="4" max="4" width="29.7265625" customWidth="1"/>
    <col min="5" max="5" width="44.08984375" customWidth="1"/>
    <col min="6" max="6" width="22.26953125" customWidth="1"/>
    <col min="7" max="7" width="21" customWidth="1"/>
    <col min="8" max="8" width="23" style="1" customWidth="1"/>
    <col min="9" max="9" width="38.6328125" customWidth="1"/>
    <col min="10" max="10" width="20.36328125" customWidth="1"/>
    <col min="14" max="14" width="8.7265625" customWidth="1"/>
    <col min="15" max="15" width="8.08984375" customWidth="1"/>
    <col min="17" max="17" width="9.26953125" customWidth="1"/>
    <col min="21" max="21" width="9.08984375" customWidth="1"/>
  </cols>
  <sheetData>
    <row r="1" spans="1:10" ht="59.25" customHeight="1">
      <c r="A1" s="75" t="s">
        <v>0</v>
      </c>
      <c r="B1" s="75"/>
      <c r="C1" s="75"/>
      <c r="D1" s="75"/>
      <c r="E1" s="75"/>
      <c r="F1" s="75"/>
      <c r="G1" s="75"/>
      <c r="H1" s="75"/>
      <c r="I1" s="75"/>
      <c r="J1" s="75"/>
    </row>
    <row r="2" spans="1:10" ht="18.75" customHeight="1">
      <c r="A2" s="75"/>
      <c r="B2" s="75"/>
      <c r="C2" s="75"/>
      <c r="D2" s="75"/>
      <c r="E2" s="75"/>
      <c r="F2" s="75"/>
      <c r="G2" s="75"/>
      <c r="H2" s="75"/>
      <c r="I2" s="75"/>
      <c r="J2" s="75"/>
    </row>
    <row r="3" spans="1:10" ht="33" customHeight="1">
      <c r="A3" s="76" t="s">
        <v>242</v>
      </c>
      <c r="B3" s="77"/>
      <c r="C3" s="77"/>
      <c r="D3" s="77"/>
      <c r="E3" s="77"/>
      <c r="F3" s="77"/>
      <c r="G3" s="77"/>
      <c r="H3" s="77"/>
      <c r="I3" s="77"/>
      <c r="J3" s="77"/>
    </row>
    <row r="4" spans="1:10" ht="9.75" customHeight="1">
      <c r="A4" s="2"/>
      <c r="B4" s="2"/>
      <c r="C4" s="2"/>
      <c r="D4" s="2"/>
      <c r="E4" s="2"/>
      <c r="F4" s="2"/>
      <c r="G4" s="2"/>
      <c r="H4" s="3"/>
      <c r="I4" s="2" t="s">
        <v>1</v>
      </c>
      <c r="J4" s="2"/>
    </row>
    <row r="5" spans="1:10" ht="43">
      <c r="A5" s="78" t="s">
        <v>2</v>
      </c>
      <c r="B5" s="79"/>
      <c r="C5" s="4" t="s">
        <v>3</v>
      </c>
      <c r="D5" s="4"/>
      <c r="E5" s="4" t="s">
        <v>4</v>
      </c>
      <c r="F5" s="4" t="s">
        <v>5</v>
      </c>
      <c r="G5" s="4" t="s">
        <v>6</v>
      </c>
      <c r="H5" s="5" t="s">
        <v>7</v>
      </c>
      <c r="I5" s="4" t="s">
        <v>8</v>
      </c>
      <c r="J5" s="18" t="s">
        <v>9</v>
      </c>
    </row>
    <row r="6" spans="1:10" ht="40.5" customHeight="1">
      <c r="A6" s="6"/>
      <c r="B6" s="7"/>
      <c r="C6" s="80" t="s">
        <v>10</v>
      </c>
      <c r="D6" s="8"/>
      <c r="E6" s="9" t="s">
        <v>11</v>
      </c>
      <c r="F6" s="54">
        <v>0</v>
      </c>
      <c r="G6" s="54">
        <v>55.576999999999998</v>
      </c>
      <c r="H6" s="55" t="s">
        <v>12</v>
      </c>
      <c r="I6" s="17" t="str">
        <f>IF($G6&gt;0,"STATION ON STREAM",IF(AND($G6=0,$H6&gt;0),"STATION ON STANDBY","STATION ON SHUTDOWN"))</f>
        <v>STATION ON STREAM</v>
      </c>
      <c r="J6" s="56">
        <v>221.38</v>
      </c>
    </row>
    <row r="7" spans="1:10" ht="35.15" customHeight="1">
      <c r="A7" s="6"/>
      <c r="B7" s="7"/>
      <c r="C7" s="81"/>
      <c r="D7" s="12"/>
      <c r="E7" s="13" t="s">
        <v>13</v>
      </c>
      <c r="F7" s="14"/>
      <c r="G7" s="57">
        <f>G6</f>
        <v>55.576999999999998</v>
      </c>
      <c r="H7" s="15"/>
      <c r="I7" s="17"/>
      <c r="J7" s="19">
        <f>J6</f>
        <v>221.38</v>
      </c>
    </row>
    <row r="8" spans="1:10" ht="29.25" customHeight="1">
      <c r="A8" s="6"/>
      <c r="B8" s="7"/>
      <c r="C8" s="81"/>
      <c r="D8" s="12"/>
      <c r="E8" s="9" t="s">
        <v>19</v>
      </c>
      <c r="F8" s="10">
        <v>30</v>
      </c>
      <c r="G8" s="58">
        <v>27.741</v>
      </c>
      <c r="H8" s="16" t="s">
        <v>153</v>
      </c>
      <c r="I8" s="17" t="str">
        <f>IF($G8&gt;0,"STATION ON STREAM",IF(AND($G8=0,$H9&gt;0),"STATION ON STANDBY","STATION ON SHUTDOWN"))</f>
        <v>STATION ON STREAM</v>
      </c>
      <c r="J8" s="56">
        <v>107.55</v>
      </c>
    </row>
    <row r="9" spans="1:10" ht="35.15" customHeight="1">
      <c r="A9" s="6"/>
      <c r="B9" s="7"/>
      <c r="C9" s="81"/>
      <c r="D9" s="12"/>
      <c r="E9" s="9" t="s">
        <v>20</v>
      </c>
      <c r="F9" s="10">
        <v>0</v>
      </c>
      <c r="G9" s="58">
        <v>0.76100000000000001</v>
      </c>
      <c r="H9" s="16" t="s">
        <v>223</v>
      </c>
      <c r="I9" s="17" t="str">
        <f t="shared" ref="I9:I13" si="0">IF($G9&gt;0,"STATION ON STREAM",IF(AND($G9=0,$H9&gt;0),"STATION ON STANDBY","STATION ON SHUTDOWN"))</f>
        <v>STATION ON STREAM</v>
      </c>
      <c r="J9" s="56">
        <v>40</v>
      </c>
    </row>
    <row r="10" spans="1:10" ht="35.15" customHeight="1">
      <c r="A10" s="6"/>
      <c r="B10" s="7"/>
      <c r="C10" s="81"/>
      <c r="D10" s="12"/>
      <c r="E10" s="9" t="s">
        <v>22</v>
      </c>
      <c r="F10" s="21">
        <v>0</v>
      </c>
      <c r="G10" s="58">
        <v>3.3000000000000002E-2</v>
      </c>
      <c r="H10" s="16" t="s">
        <v>226</v>
      </c>
      <c r="I10" s="17" t="str">
        <f t="shared" si="0"/>
        <v>STATION ON STREAM</v>
      </c>
      <c r="J10" s="56">
        <v>3</v>
      </c>
    </row>
    <row r="11" spans="1:10" ht="35.15" customHeight="1">
      <c r="A11" s="6"/>
      <c r="B11" s="7"/>
      <c r="C11" s="81"/>
      <c r="D11" s="12"/>
      <c r="E11" s="9" t="s">
        <v>23</v>
      </c>
      <c r="F11" s="10">
        <v>25</v>
      </c>
      <c r="G11" s="58">
        <v>25.297999999999998</v>
      </c>
      <c r="H11" s="16" t="s">
        <v>221</v>
      </c>
      <c r="I11" s="17" t="str">
        <f t="shared" si="0"/>
        <v>STATION ON STREAM</v>
      </c>
      <c r="J11" s="56">
        <v>81.604166666666671</v>
      </c>
    </row>
    <row r="12" spans="1:10" ht="35.15" customHeight="1">
      <c r="A12" s="6"/>
      <c r="B12" s="7"/>
      <c r="C12" s="81"/>
      <c r="D12" s="12"/>
      <c r="E12" s="9" t="s">
        <v>24</v>
      </c>
      <c r="F12" s="10">
        <v>0</v>
      </c>
      <c r="G12" s="58">
        <v>0</v>
      </c>
      <c r="H12" s="16" t="s">
        <v>222</v>
      </c>
      <c r="I12" s="17" t="str">
        <f t="shared" si="0"/>
        <v>STATION ON STANDBY</v>
      </c>
      <c r="J12" s="56">
        <v>0</v>
      </c>
    </row>
    <row r="13" spans="1:10" ht="35.15" customHeight="1">
      <c r="A13" s="6"/>
      <c r="B13" s="7"/>
      <c r="C13" s="81"/>
      <c r="D13" s="12"/>
      <c r="E13" s="9" t="s">
        <v>25</v>
      </c>
      <c r="F13" s="10">
        <v>94.54</v>
      </c>
      <c r="G13" s="58">
        <v>64.150000000000006</v>
      </c>
      <c r="H13" s="11" t="s">
        <v>227</v>
      </c>
      <c r="I13" s="17" t="str">
        <f t="shared" si="0"/>
        <v>STATION ON STREAM</v>
      </c>
      <c r="J13" s="56">
        <v>270.88</v>
      </c>
    </row>
    <row r="14" spans="1:10" ht="35.15" customHeight="1">
      <c r="A14" s="6"/>
      <c r="B14" s="7"/>
      <c r="C14" s="81"/>
      <c r="D14" s="12"/>
      <c r="E14" s="13" t="s">
        <v>13</v>
      </c>
      <c r="F14" s="14"/>
      <c r="G14" s="57">
        <f>SUM(G8:G13)</f>
        <v>117.983</v>
      </c>
      <c r="H14" s="15"/>
      <c r="I14" s="17"/>
      <c r="J14" s="19">
        <f>SUM(J8:J13)</f>
        <v>503.03416666666669</v>
      </c>
    </row>
    <row r="15" spans="1:10" ht="35.15" customHeight="1">
      <c r="A15" s="6"/>
      <c r="B15" s="7"/>
      <c r="C15" s="69"/>
      <c r="D15" s="8"/>
      <c r="E15" s="9" t="s">
        <v>27</v>
      </c>
      <c r="F15" s="21"/>
      <c r="G15" s="21">
        <v>60.9</v>
      </c>
      <c r="H15" s="11" t="s">
        <v>28</v>
      </c>
      <c r="I15" s="17" t="str">
        <f t="shared" ref="I15:I18" si="1">IF($G15&gt;0,"STATION ON STREAM",IF(AND($G15=0,$H15&gt;0),"STATION ON STANDBY","STATION ON SHUTDOWN"))</f>
        <v>STATION ON STREAM</v>
      </c>
      <c r="J15" s="17"/>
    </row>
    <row r="16" spans="1:10" ht="35.15" customHeight="1">
      <c r="A16" s="6"/>
      <c r="B16" s="7"/>
      <c r="C16" s="70"/>
      <c r="D16" s="12"/>
      <c r="E16" s="9" t="s">
        <v>29</v>
      </c>
      <c r="F16" s="21"/>
      <c r="G16" s="58">
        <v>13.159000000000001</v>
      </c>
      <c r="H16" s="11" t="s">
        <v>125</v>
      </c>
      <c r="I16" s="17" t="str">
        <f t="shared" si="1"/>
        <v>STATION ON STREAM</v>
      </c>
      <c r="J16" s="17"/>
    </row>
    <row r="17" spans="1:10" ht="35.15" customHeight="1">
      <c r="A17" s="6"/>
      <c r="B17" s="7"/>
      <c r="C17" s="70"/>
      <c r="D17" s="12"/>
      <c r="E17" s="9" t="s">
        <v>31</v>
      </c>
      <c r="F17" s="21"/>
      <c r="G17" s="58">
        <v>5.2999999999999999E-2</v>
      </c>
      <c r="H17" s="11" t="s">
        <v>142</v>
      </c>
      <c r="I17" s="17" t="str">
        <f t="shared" si="1"/>
        <v>STATION ON STREAM</v>
      </c>
      <c r="J17" s="17"/>
    </row>
    <row r="18" spans="1:10" ht="35.15" customHeight="1">
      <c r="A18" s="6"/>
      <c r="B18" s="7"/>
      <c r="C18" s="70"/>
      <c r="D18" s="12"/>
      <c r="E18" s="9" t="s">
        <v>33</v>
      </c>
      <c r="F18" s="21"/>
      <c r="G18" s="58">
        <v>27.149000000000001</v>
      </c>
      <c r="H18" s="11" t="s">
        <v>228</v>
      </c>
      <c r="I18" s="17" t="str">
        <f t="shared" si="1"/>
        <v>STATION ON STREAM</v>
      </c>
      <c r="J18" s="17"/>
    </row>
    <row r="19" spans="1:10" ht="34.5" customHeight="1">
      <c r="A19" s="72"/>
      <c r="B19" s="73"/>
      <c r="C19" s="74"/>
      <c r="D19" s="12"/>
      <c r="E19" s="17" t="s">
        <v>47</v>
      </c>
      <c r="F19" s="49"/>
      <c r="G19" s="59">
        <v>2.5999999999999999E-2</v>
      </c>
      <c r="H19" s="16" t="s">
        <v>42</v>
      </c>
      <c r="I19" s="17" t="str">
        <f t="shared" ref="I19:I20" si="2">IF($G19&gt;0,"STATION ON STREAM",IF(AND($G19=0,$H19&gt;0),"STATION ON STANDBY","STATION ON SHUTDOWN"))</f>
        <v>STATION ON STREAM</v>
      </c>
      <c r="J19" s="17"/>
    </row>
    <row r="20" spans="1:10" ht="34.5" customHeight="1">
      <c r="A20" s="72"/>
      <c r="B20" s="73"/>
      <c r="C20" s="74"/>
      <c r="D20" s="12"/>
      <c r="E20" s="17" t="s">
        <v>49</v>
      </c>
      <c r="F20" s="49"/>
      <c r="G20" s="59">
        <v>1.2E-2</v>
      </c>
      <c r="H20" s="16" t="s">
        <v>40</v>
      </c>
      <c r="I20" s="17" t="str">
        <f t="shared" si="2"/>
        <v>STATION ON STREAM</v>
      </c>
      <c r="J20" s="17"/>
    </row>
    <row r="21" spans="1:10" ht="35.15" customHeight="1">
      <c r="A21" s="72"/>
      <c r="B21" s="73"/>
      <c r="C21" s="71"/>
      <c r="D21" s="12"/>
      <c r="E21" s="13" t="s">
        <v>13</v>
      </c>
      <c r="F21" s="14"/>
      <c r="G21" s="60">
        <f>SUM(G15:G20)</f>
        <v>101.29899999999999</v>
      </c>
      <c r="H21" s="20"/>
      <c r="I21" s="17"/>
      <c r="J21" s="17"/>
    </row>
    <row r="22" spans="1:10" ht="35.15" customHeight="1">
      <c r="A22" s="72"/>
      <c r="B22" s="73"/>
      <c r="C22" s="68"/>
      <c r="D22" s="12"/>
      <c r="E22" s="9" t="s">
        <v>50</v>
      </c>
      <c r="F22" s="21"/>
      <c r="G22" s="21">
        <v>1.86</v>
      </c>
      <c r="H22" s="21" t="s">
        <v>12</v>
      </c>
      <c r="I22" s="17" t="str">
        <f>IF($G22&gt;0,"STATION ON STREAM",IF(AND($G22=0,$H22&gt;0),"STATION ON STANDBY","STATION ON SHUTDOWN"))</f>
        <v>STATION ON STREAM</v>
      </c>
      <c r="J22" s="17"/>
    </row>
    <row r="23" spans="1:10" ht="35.15" customHeight="1">
      <c r="A23" s="72"/>
      <c r="B23" s="73"/>
      <c r="C23" s="68"/>
      <c r="D23" s="12"/>
      <c r="E23" s="13" t="s">
        <v>13</v>
      </c>
      <c r="F23" s="14"/>
      <c r="G23" s="61">
        <f>SUM(G22)</f>
        <v>1.86</v>
      </c>
      <c r="H23" s="23"/>
      <c r="I23" s="17"/>
      <c r="J23" s="17"/>
    </row>
    <row r="24" spans="1:10" ht="35.15" customHeight="1">
      <c r="A24" s="6"/>
      <c r="B24" s="24"/>
      <c r="C24" s="84" t="s">
        <v>51</v>
      </c>
      <c r="D24" s="12"/>
      <c r="E24" s="9" t="s">
        <v>52</v>
      </c>
      <c r="F24" s="50">
        <v>47</v>
      </c>
      <c r="G24" s="62">
        <v>47.09</v>
      </c>
      <c r="H24" s="22">
        <v>30</v>
      </c>
      <c r="I24" s="17" t="str">
        <f t="shared" ref="I24:I27" si="3">IF($G24&gt;0,"STATION ON STREAM",IF(AND($G24=0,$H24&gt;0),"STATION ON STANDBY","STATION ON SHUTDOWN"))</f>
        <v>STATION ON STREAM</v>
      </c>
      <c r="J24" s="17"/>
    </row>
    <row r="25" spans="1:10" ht="35.15" customHeight="1">
      <c r="A25" s="25"/>
      <c r="B25" s="24"/>
      <c r="C25" s="85"/>
      <c r="D25" s="12"/>
      <c r="E25" s="9" t="s">
        <v>53</v>
      </c>
      <c r="F25" s="50">
        <v>1</v>
      </c>
      <c r="G25" s="62">
        <v>1.0289999999999999</v>
      </c>
      <c r="H25" s="22" t="s">
        <v>54</v>
      </c>
      <c r="I25" s="17" t="str">
        <f t="shared" si="3"/>
        <v>STATION ON STREAM</v>
      </c>
      <c r="J25" s="17"/>
    </row>
    <row r="26" spans="1:10" ht="35.15" customHeight="1">
      <c r="A26" s="25"/>
      <c r="B26" s="24"/>
      <c r="C26" s="85"/>
      <c r="D26" s="8"/>
      <c r="E26" s="9" t="s">
        <v>55</v>
      </c>
      <c r="F26" s="50">
        <v>185</v>
      </c>
      <c r="G26" s="62">
        <v>187.36</v>
      </c>
      <c r="H26" s="22" t="s">
        <v>229</v>
      </c>
      <c r="I26" s="17" t="str">
        <f t="shared" si="3"/>
        <v>STATION ON STREAM</v>
      </c>
      <c r="J26" s="42"/>
    </row>
    <row r="27" spans="1:10" ht="35.15" customHeight="1">
      <c r="A27" s="25"/>
      <c r="B27" s="24"/>
      <c r="C27" s="86"/>
      <c r="D27" s="12"/>
      <c r="E27" s="9" t="s">
        <v>57</v>
      </c>
      <c r="F27" s="50">
        <v>0.3</v>
      </c>
      <c r="G27" s="62">
        <v>0.4</v>
      </c>
      <c r="H27" s="22" t="s">
        <v>58</v>
      </c>
      <c r="I27" s="17" t="str">
        <f t="shared" si="3"/>
        <v>STATION ON STREAM</v>
      </c>
      <c r="J27" s="21">
        <v>0</v>
      </c>
    </row>
    <row r="28" spans="1:10" ht="35.15" customHeight="1">
      <c r="A28" s="25"/>
      <c r="B28" s="24"/>
      <c r="C28" s="87"/>
      <c r="D28" s="8"/>
      <c r="E28" s="13" t="s">
        <v>13</v>
      </c>
      <c r="F28" s="26"/>
      <c r="G28" s="57">
        <f>SUM(G24+G25+G26+G27)</f>
        <v>235.87900000000002</v>
      </c>
      <c r="H28" s="15"/>
      <c r="I28" s="17"/>
      <c r="J28" s="21"/>
    </row>
    <row r="29" spans="1:10" ht="35.15" customHeight="1">
      <c r="A29" s="25"/>
      <c r="B29" s="24"/>
      <c r="C29" s="84" t="s">
        <v>59</v>
      </c>
      <c r="D29" s="12"/>
      <c r="E29" s="9" t="s">
        <v>60</v>
      </c>
      <c r="F29" s="21">
        <v>140</v>
      </c>
      <c r="G29" s="58">
        <v>123.551</v>
      </c>
      <c r="H29" s="11">
        <v>32</v>
      </c>
      <c r="I29" s="17" t="str">
        <f>IF($G29&gt;0,"STATION ON STREAM",IF(AND($G29=0,$H29&gt;0),"STATION ON STANDBY","STATION ON SHUTDOWN"))</f>
        <v>STATION ON STREAM</v>
      </c>
      <c r="J29" s="21">
        <f>G35*4</f>
        <v>0</v>
      </c>
    </row>
    <row r="30" spans="1:10" ht="35.15" customHeight="1">
      <c r="A30" s="28"/>
      <c r="B30" s="29"/>
      <c r="C30" s="87"/>
      <c r="D30" s="12"/>
      <c r="E30" s="13" t="s">
        <v>13</v>
      </c>
      <c r="F30" s="14"/>
      <c r="G30" s="63">
        <f>SUM(G29)</f>
        <v>123.551</v>
      </c>
      <c r="H30" s="27"/>
      <c r="I30" s="17"/>
      <c r="J30" s="17"/>
    </row>
    <row r="31" spans="1:10" ht="35.15" customHeight="1">
      <c r="A31" s="25"/>
      <c r="B31" s="24"/>
      <c r="C31" s="30" t="s">
        <v>61</v>
      </c>
      <c r="D31" s="30"/>
      <c r="E31" s="13" t="s">
        <v>62</v>
      </c>
      <c r="F31" s="13"/>
      <c r="G31" s="66">
        <f>SUM(G7+G14+G21+G23+G28+G30)</f>
        <v>636.149</v>
      </c>
      <c r="H31" s="27"/>
      <c r="I31" s="17"/>
      <c r="J31" s="17"/>
    </row>
    <row r="32" spans="1:10" ht="34.5" customHeight="1">
      <c r="A32" s="32"/>
      <c r="B32" s="24"/>
      <c r="C32" s="84" t="s">
        <v>63</v>
      </c>
      <c r="D32" s="12"/>
      <c r="E32" s="9" t="s">
        <v>64</v>
      </c>
      <c r="F32" s="9"/>
      <c r="G32" s="67">
        <v>50.795000000000002</v>
      </c>
      <c r="H32" s="31" t="s">
        <v>65</v>
      </c>
      <c r="I32" s="17" t="str">
        <f>IF($G32&gt;0,"STATION ON STREAM",IF(AND($G32=0,$H32&gt;0),"STATION ON STANDBY","STATION ON SHUTDOWN"))</f>
        <v>STATION ON STREAM</v>
      </c>
      <c r="J32" s="17"/>
    </row>
    <row r="33" spans="1:11" ht="35.15" customHeight="1">
      <c r="A33" s="25"/>
      <c r="B33" s="24"/>
      <c r="C33" s="88"/>
      <c r="D33" s="8"/>
      <c r="E33" s="13" t="s">
        <v>13</v>
      </c>
      <c r="F33" s="14"/>
      <c r="G33" s="57">
        <f>SUM(G32)</f>
        <v>50.795000000000002</v>
      </c>
      <c r="H33" s="27"/>
      <c r="I33" s="17"/>
      <c r="J33" s="17"/>
    </row>
    <row r="34" spans="1:11" ht="35.15" customHeight="1">
      <c r="A34" s="25"/>
      <c r="B34" s="24"/>
      <c r="C34" s="84" t="s">
        <v>14</v>
      </c>
      <c r="D34" s="8"/>
      <c r="E34" s="9" t="s">
        <v>66</v>
      </c>
      <c r="F34" s="9"/>
      <c r="G34" s="9">
        <v>13.266999999999999</v>
      </c>
      <c r="H34" s="31" t="s">
        <v>67</v>
      </c>
      <c r="I34" s="17" t="str">
        <f>IF($G34&gt;0,"STATION ON STREAM",IF(AND($G34=0,$H34&gt;0),"STATION ON STANDBY","STATION ON SHUTDOWN"))</f>
        <v>STATION ON STREAM</v>
      </c>
      <c r="J34" s="17"/>
    </row>
    <row r="35" spans="1:11" ht="35.15" customHeight="1">
      <c r="A35" s="25"/>
      <c r="B35" s="24"/>
      <c r="C35" s="85"/>
      <c r="D35" s="12"/>
      <c r="E35" s="9" t="s">
        <v>68</v>
      </c>
      <c r="F35" s="9"/>
      <c r="G35" s="65">
        <v>0</v>
      </c>
      <c r="H35" s="31" t="s">
        <v>65</v>
      </c>
      <c r="I35" s="17" t="str">
        <f>IF($G35&gt;0,"STATION ON STREAM",IF(AND($G35=0,$H35&gt;0),"STATION ON STANDBY","STATION ON SHUTDOWN"))</f>
        <v>STATION ON STANDBY</v>
      </c>
      <c r="J35" s="17"/>
    </row>
    <row r="36" spans="1:11" ht="35.25" customHeight="1">
      <c r="A36" s="25"/>
      <c r="B36" s="24"/>
      <c r="C36" s="85"/>
      <c r="D36" s="12"/>
      <c r="E36" s="13" t="s">
        <v>13</v>
      </c>
      <c r="F36" s="14"/>
      <c r="G36" s="57">
        <f>SUM(G34:G35)</f>
        <v>13.266999999999999</v>
      </c>
      <c r="H36" s="27"/>
      <c r="I36" s="17"/>
      <c r="J36" s="17"/>
    </row>
    <row r="37" spans="1:11" ht="35.15" customHeight="1">
      <c r="A37" s="25"/>
      <c r="B37" s="24"/>
      <c r="C37" s="85"/>
      <c r="D37" s="12"/>
      <c r="E37" s="9" t="s">
        <v>69</v>
      </c>
      <c r="F37" s="9"/>
      <c r="G37" s="64">
        <v>0</v>
      </c>
      <c r="H37" s="31" t="s">
        <v>65</v>
      </c>
      <c r="I37" s="17" t="str">
        <f>IF($G37&gt;0,"STATION ON STREAM",IF(AND($G37=0,$H37&gt;0),"STATION ON STANDBY","STATION ON SHUTDOWN"))</f>
        <v>STATION ON STANDBY</v>
      </c>
      <c r="J37" s="17"/>
    </row>
    <row r="38" spans="1:11" ht="35.15" customHeight="1">
      <c r="A38" s="33" t="s">
        <v>70</v>
      </c>
      <c r="B38" s="24"/>
      <c r="C38" s="87"/>
      <c r="D38" s="12"/>
      <c r="E38" s="9" t="s">
        <v>71</v>
      </c>
      <c r="F38" s="9"/>
      <c r="G38" s="51">
        <v>0</v>
      </c>
      <c r="H38" s="31" t="s">
        <v>136</v>
      </c>
      <c r="I38" s="17" t="str">
        <f>IF($G38&gt;0,"STATION ON STREAM",IF(AND($G38=0,$H38&gt;0),"STATION ON STANDBY","STATION ON SHUTDOWN"))</f>
        <v>STATION ON STANDBY</v>
      </c>
      <c r="J38" s="17"/>
    </row>
    <row r="39" spans="1:11" ht="35.15" customHeight="1">
      <c r="A39" s="25"/>
      <c r="B39" s="24"/>
      <c r="C39" s="68"/>
      <c r="D39" s="12"/>
      <c r="E39" s="9" t="s">
        <v>72</v>
      </c>
      <c r="F39" s="9"/>
      <c r="G39" s="64">
        <v>0</v>
      </c>
      <c r="H39" s="31" t="s">
        <v>73</v>
      </c>
      <c r="I39" s="17" t="str">
        <f>IF($G39&gt;0,"STATION ON STREAM",IF(AND($G39=0,$H39&gt;0),"STATION ON STANDBY","STATION ON SHUTDOWN"))</f>
        <v>STATION ON STANDBY</v>
      </c>
      <c r="J39" s="17"/>
    </row>
    <row r="40" spans="1:11" ht="35.15" customHeight="1">
      <c r="A40" s="25"/>
      <c r="B40" s="24"/>
      <c r="C40" s="84" t="s">
        <v>74</v>
      </c>
      <c r="D40" s="8"/>
      <c r="E40" s="9" t="s">
        <v>75</v>
      </c>
      <c r="F40" s="9"/>
      <c r="G40" s="64">
        <v>1.7669999999999999</v>
      </c>
      <c r="H40" s="31" t="s">
        <v>97</v>
      </c>
      <c r="I40" s="17" t="str">
        <f>IF($G40&gt;0,"STATION ON STREAM",IF(AND($G40=0,$H40&gt;0),"STATION ON STANDBY","STATION ON SHUTDOWN"))</f>
        <v>STATION ON STREAM</v>
      </c>
      <c r="J40" s="17"/>
      <c r="K40" s="43"/>
    </row>
    <row r="41" spans="1:11" ht="35.15" customHeight="1">
      <c r="A41" s="25"/>
      <c r="B41" s="24"/>
      <c r="C41" s="88"/>
      <c r="D41" s="8"/>
      <c r="E41" s="13" t="s">
        <v>13</v>
      </c>
      <c r="F41" s="14"/>
      <c r="G41" s="57">
        <f>SUM(G37:G40)</f>
        <v>1.7669999999999999</v>
      </c>
      <c r="H41" s="27"/>
      <c r="I41" s="17"/>
      <c r="J41" s="17"/>
      <c r="K41" s="44"/>
    </row>
    <row r="42" spans="1:11" ht="35.15" customHeight="1">
      <c r="A42" s="32"/>
      <c r="B42" s="24"/>
      <c r="C42" s="69" t="s">
        <v>51</v>
      </c>
      <c r="D42" s="8"/>
      <c r="E42" s="9" t="s">
        <v>77</v>
      </c>
      <c r="F42" s="9"/>
      <c r="G42" s="52">
        <v>1.5369999999999999</v>
      </c>
      <c r="H42" s="35">
        <v>44</v>
      </c>
      <c r="I42" s="17" t="str">
        <f t="shared" ref="I42:I43" si="4">IF($G42&gt;0,"STATION ON STREAM",IF(AND($G42=0,$H42&gt;0),"STATION ON STANDBY","STATION ON SHUTDOWN"))</f>
        <v>STATION ON STREAM</v>
      </c>
      <c r="J42" s="42"/>
    </row>
    <row r="43" spans="1:11" ht="35.15" customHeight="1">
      <c r="A43" s="32"/>
      <c r="B43" s="24"/>
      <c r="C43" s="89"/>
      <c r="D43" s="8"/>
      <c r="E43" s="9" t="s">
        <v>78</v>
      </c>
      <c r="F43" s="9"/>
      <c r="G43" s="53">
        <v>0</v>
      </c>
      <c r="H43" s="35">
        <v>0</v>
      </c>
      <c r="I43" s="17" t="str">
        <f t="shared" si="4"/>
        <v>STATION ON SHUTDOWN</v>
      </c>
      <c r="J43" s="17"/>
    </row>
    <row r="44" spans="1:11" ht="35.15" customHeight="1">
      <c r="A44" s="36"/>
      <c r="B44" s="36"/>
      <c r="C44" s="89"/>
      <c r="D44" s="8"/>
      <c r="E44" s="9" t="s">
        <v>79</v>
      </c>
      <c r="F44" s="9"/>
      <c r="G44" s="53">
        <v>2.09</v>
      </c>
      <c r="H44" s="35">
        <v>15</v>
      </c>
      <c r="I44" s="17" t="str">
        <f>IF($G45&gt;0,"STATION ON STREAM",IF(AND($G45=0,$H44&gt;0),"STATION ON STANDBY","STATION ON SHUTDOWN"))</f>
        <v>STATION ON STANDBY</v>
      </c>
      <c r="J44" s="42"/>
    </row>
    <row r="45" spans="1:11" ht="26.25" customHeight="1">
      <c r="A45" s="36"/>
      <c r="B45" s="36"/>
      <c r="C45" s="90"/>
      <c r="D45" s="8"/>
      <c r="E45" s="9" t="s">
        <v>80</v>
      </c>
      <c r="F45" s="9"/>
      <c r="G45" s="51">
        <v>0</v>
      </c>
      <c r="H45" s="35">
        <v>35</v>
      </c>
      <c r="I45" s="17" t="str">
        <f>IF($G45&gt;0,"STATION ON STREAM",IF(AND($G45=0,$H45&gt;0),"STATION ON STANDBY","STATION ON SHUTDOWN"))</f>
        <v>STATION ON STANDBY</v>
      </c>
      <c r="J45" s="42"/>
    </row>
    <row r="46" spans="1:11" ht="21" customHeight="1">
      <c r="A46" s="82"/>
      <c r="B46" s="83"/>
      <c r="C46" s="30"/>
      <c r="D46" s="12"/>
      <c r="E46" s="13" t="s">
        <v>13</v>
      </c>
      <c r="F46" s="14" t="s">
        <v>62</v>
      </c>
      <c r="G46" s="57">
        <f>SUM(G42:G45)</f>
        <v>3.6269999999999998</v>
      </c>
      <c r="H46" s="37"/>
      <c r="I46" s="14" t="s">
        <v>81</v>
      </c>
      <c r="J46" s="42"/>
    </row>
    <row r="47" spans="1:11" ht="25.5" customHeight="1">
      <c r="A47" s="38"/>
      <c r="B47" s="38"/>
      <c r="C47" s="30" t="s">
        <v>61</v>
      </c>
      <c r="D47" s="30"/>
      <c r="E47" s="13" t="s">
        <v>62</v>
      </c>
      <c r="F47" s="13" t="s">
        <v>62</v>
      </c>
      <c r="G47" s="57">
        <f>SUM(G33+G36+G41+G46)</f>
        <v>69.455999999999989</v>
      </c>
      <c r="H47" s="37"/>
      <c r="I47" s="13" t="s">
        <v>62</v>
      </c>
      <c r="J47" s="45"/>
    </row>
    <row r="48" spans="1:11" ht="18.5">
      <c r="A48" s="38"/>
      <c r="B48" s="38"/>
      <c r="C48" s="30" t="s">
        <v>82</v>
      </c>
      <c r="D48" s="30"/>
      <c r="E48" s="13" t="s">
        <v>62</v>
      </c>
      <c r="F48" s="13" t="s">
        <v>62</v>
      </c>
      <c r="G48" s="66">
        <f>SUM(G31+G47)</f>
        <v>705.60500000000002</v>
      </c>
      <c r="H48" s="39"/>
      <c r="I48" s="46"/>
      <c r="J48" s="47">
        <f>J14+J47+J7</f>
        <v>724.41416666666669</v>
      </c>
    </row>
    <row r="49" spans="1:10" ht="18.5">
      <c r="A49" s="38"/>
      <c r="B49" s="38"/>
      <c r="C49" s="34"/>
      <c r="D49" s="34"/>
      <c r="E49" s="34"/>
      <c r="F49" s="40"/>
      <c r="G49" s="40"/>
      <c r="H49" s="41"/>
      <c r="I49" s="40"/>
      <c r="J49" s="48"/>
    </row>
    <row r="50" spans="1:10" ht="18.5">
      <c r="C50" s="34"/>
      <c r="D50" s="34"/>
      <c r="E50" s="34"/>
      <c r="F50" s="34"/>
      <c r="G50" s="40"/>
      <c r="H50" s="41"/>
      <c r="I50" s="34"/>
      <c r="J50" s="34"/>
    </row>
  </sheetData>
  <sheetProtection formatCells="0" formatColumns="0" formatRows="0" insertColumns="0" insertRows="0"/>
  <mergeCells count="15">
    <mergeCell ref="A46:B46"/>
    <mergeCell ref="C24:C28"/>
    <mergeCell ref="C29:C30"/>
    <mergeCell ref="C32:C33"/>
    <mergeCell ref="C34:C38"/>
    <mergeCell ref="C40:C41"/>
    <mergeCell ref="C42:C45"/>
    <mergeCell ref="C15:C18"/>
    <mergeCell ref="A19:B23"/>
    <mergeCell ref="C19:C21"/>
    <mergeCell ref="A1:J2"/>
    <mergeCell ref="A3:J3"/>
    <mergeCell ref="A5:B5"/>
    <mergeCell ref="C6:C7"/>
    <mergeCell ref="C8:C14"/>
  </mergeCells>
  <printOptions horizontalCentered="1"/>
  <pageMargins left="0.196850393700787" right="0.196850393700787" top="0" bottom="0" header="0.118110236220472" footer="0.118110236220472"/>
  <pageSetup paperSize="9" scale="40" fitToHeight="0" orientation="portrait" verticalDpi="300" r:id="rId1"/>
  <headerFooter alignWithMargins="0">
    <oddHeader>&amp;C&amp;KFFA500&amp;10&amp;"Calibri"Confidential: Internal Use Only</oddHeader>
    <oddFooter>&amp;C&amp;KFFA500&amp;10&amp;"Calibri"Confidential: Internal Use Only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8A698-C038-4DAB-89E5-B664156328F2}">
  <sheetPr>
    <pageSetUpPr fitToPage="1"/>
  </sheetPr>
  <dimension ref="A1:K50"/>
  <sheetViews>
    <sheetView showGridLines="0" tabSelected="1" view="pageBreakPreview" topLeftCell="D149" zoomScale="73" zoomScaleNormal="55" zoomScaleSheetLayoutView="73" zoomScalePageLayoutView="10" workbookViewId="0">
      <selection activeCell="A53" sqref="A50:XFD53"/>
    </sheetView>
  </sheetViews>
  <sheetFormatPr defaultColWidth="9" defaultRowHeight="14.5"/>
  <cols>
    <col min="1" max="1" width="15.26953125" customWidth="1"/>
    <col min="2" max="2" width="2.90625" customWidth="1"/>
    <col min="3" max="3" width="18.7265625" customWidth="1"/>
    <col min="4" max="4" width="29.7265625" customWidth="1"/>
    <col min="5" max="5" width="44.08984375" customWidth="1"/>
    <col min="6" max="6" width="22.26953125" customWidth="1"/>
    <col min="7" max="7" width="21" customWidth="1"/>
    <col min="8" max="8" width="23" style="1" customWidth="1"/>
    <col min="9" max="9" width="38.6328125" customWidth="1"/>
    <col min="10" max="10" width="20.36328125" customWidth="1"/>
    <col min="14" max="14" width="8.7265625" customWidth="1"/>
    <col min="15" max="15" width="8.08984375" customWidth="1"/>
    <col min="17" max="17" width="9.26953125" customWidth="1"/>
    <col min="21" max="21" width="9.08984375" customWidth="1"/>
  </cols>
  <sheetData>
    <row r="1" spans="1:10" ht="59.25" customHeight="1">
      <c r="A1" s="75" t="s">
        <v>0</v>
      </c>
      <c r="B1" s="75"/>
      <c r="C1" s="75"/>
      <c r="D1" s="75"/>
      <c r="E1" s="75"/>
      <c r="F1" s="75"/>
      <c r="G1" s="75"/>
      <c r="H1" s="75"/>
      <c r="I1" s="75"/>
      <c r="J1" s="75"/>
    </row>
    <row r="2" spans="1:10" ht="18.75" customHeight="1">
      <c r="A2" s="75"/>
      <c r="B2" s="75"/>
      <c r="C2" s="75"/>
      <c r="D2" s="75"/>
      <c r="E2" s="75"/>
      <c r="F2" s="75"/>
      <c r="G2" s="75"/>
      <c r="H2" s="75"/>
      <c r="I2" s="75"/>
      <c r="J2" s="75"/>
    </row>
    <row r="3" spans="1:10" ht="33" customHeight="1">
      <c r="A3" s="76" t="s">
        <v>242</v>
      </c>
      <c r="B3" s="77"/>
      <c r="C3" s="77"/>
      <c r="D3" s="77"/>
      <c r="E3" s="77"/>
      <c r="F3" s="77"/>
      <c r="G3" s="77"/>
      <c r="H3" s="77"/>
      <c r="I3" s="77"/>
      <c r="J3" s="77"/>
    </row>
    <row r="4" spans="1:10" ht="9.75" customHeight="1">
      <c r="A4" s="2"/>
      <c r="B4" s="2"/>
      <c r="C4" s="2"/>
      <c r="D4" s="2"/>
      <c r="E4" s="2"/>
      <c r="F4" s="2"/>
      <c r="G4" s="2"/>
      <c r="H4" s="3"/>
      <c r="I4" s="2" t="s">
        <v>1</v>
      </c>
      <c r="J4" s="2"/>
    </row>
    <row r="5" spans="1:10" ht="43">
      <c r="A5" s="78" t="s">
        <v>2</v>
      </c>
      <c r="B5" s="79"/>
      <c r="C5" s="4" t="s">
        <v>3</v>
      </c>
      <c r="D5" s="4"/>
      <c r="E5" s="4" t="s">
        <v>4</v>
      </c>
      <c r="F5" s="4" t="s">
        <v>5</v>
      </c>
      <c r="G5" s="4" t="s">
        <v>6</v>
      </c>
      <c r="H5" s="5" t="s">
        <v>7</v>
      </c>
      <c r="I5" s="4" t="s">
        <v>8</v>
      </c>
      <c r="J5" s="18" t="s">
        <v>9</v>
      </c>
    </row>
    <row r="6" spans="1:10" ht="40.5" customHeight="1">
      <c r="A6" s="6"/>
      <c r="B6" s="7"/>
      <c r="C6" s="80" t="s">
        <v>10</v>
      </c>
      <c r="D6" s="8"/>
      <c r="E6" s="9" t="s">
        <v>11</v>
      </c>
      <c r="F6" s="54">
        <v>47.1</v>
      </c>
      <c r="G6" s="54">
        <v>63.756000000000007</v>
      </c>
      <c r="H6" s="55" t="s">
        <v>12</v>
      </c>
      <c r="I6" s="17" t="str">
        <f>IF($G6&gt;0,"STATION ON STREAM",IF(AND($G6=0,$H6&gt;0),"STATION ON STANDBY","STATION ON SHUTDOWN"))</f>
        <v>STATION ON STREAM</v>
      </c>
      <c r="J6" s="56">
        <v>253.42</v>
      </c>
    </row>
    <row r="7" spans="1:10" ht="35.15" customHeight="1">
      <c r="A7" s="6"/>
      <c r="B7" s="7"/>
      <c r="C7" s="81"/>
      <c r="D7" s="12"/>
      <c r="E7" s="13" t="s">
        <v>13</v>
      </c>
      <c r="F7" s="14"/>
      <c r="G7" s="57">
        <f>G6</f>
        <v>63.756000000000007</v>
      </c>
      <c r="H7" s="15"/>
      <c r="I7" s="17"/>
      <c r="J7" s="19">
        <f>J6</f>
        <v>253.42</v>
      </c>
    </row>
    <row r="8" spans="1:10" ht="29.25" customHeight="1">
      <c r="A8" s="6"/>
      <c r="B8" s="7"/>
      <c r="C8" s="81"/>
      <c r="D8" s="12"/>
      <c r="E8" s="9" t="s">
        <v>19</v>
      </c>
      <c r="F8" s="10">
        <v>30</v>
      </c>
      <c r="G8" s="58">
        <v>24.609000000000002</v>
      </c>
      <c r="H8" s="16" t="s">
        <v>91</v>
      </c>
      <c r="I8" s="17" t="str">
        <f>IF($G8&gt;0,"STATION ON STREAM",IF(AND($G8=0,$H9&gt;0),"STATION ON STANDBY","STATION ON SHUTDOWN"))</f>
        <v>STATION ON STREAM</v>
      </c>
      <c r="J8" s="56">
        <v>93.23</v>
      </c>
    </row>
    <row r="9" spans="1:10" ht="35.15" customHeight="1">
      <c r="A9" s="6"/>
      <c r="B9" s="7"/>
      <c r="C9" s="81"/>
      <c r="D9" s="12"/>
      <c r="E9" s="9" t="s">
        <v>20</v>
      </c>
      <c r="F9" s="10">
        <v>0</v>
      </c>
      <c r="G9" s="58">
        <v>0</v>
      </c>
      <c r="H9" s="16" t="s">
        <v>223</v>
      </c>
      <c r="I9" s="17" t="str">
        <f t="shared" ref="I9:I13" si="0">IF($G9&gt;0,"STATION ON STREAM",IF(AND($G9=0,$H9&gt;0),"STATION ON STANDBY","STATION ON SHUTDOWN"))</f>
        <v>STATION ON STANDBY</v>
      </c>
      <c r="J9" s="56">
        <v>0</v>
      </c>
    </row>
    <row r="10" spans="1:10" ht="35.15" customHeight="1">
      <c r="A10" s="6"/>
      <c r="B10" s="7"/>
      <c r="C10" s="81"/>
      <c r="D10" s="12"/>
      <c r="E10" s="9" t="s">
        <v>22</v>
      </c>
      <c r="F10" s="21">
        <v>20</v>
      </c>
      <c r="G10" s="58">
        <v>21.184999999999999</v>
      </c>
      <c r="H10" s="16" t="s">
        <v>226</v>
      </c>
      <c r="I10" s="17" t="str">
        <f t="shared" si="0"/>
        <v>STATION ON STREAM</v>
      </c>
      <c r="J10" s="56">
        <v>95.81</v>
      </c>
    </row>
    <row r="11" spans="1:10" ht="35.15" customHeight="1">
      <c r="A11" s="6"/>
      <c r="B11" s="7"/>
      <c r="C11" s="81"/>
      <c r="D11" s="12"/>
      <c r="E11" s="9" t="s">
        <v>23</v>
      </c>
      <c r="F11" s="10">
        <v>25</v>
      </c>
      <c r="G11" s="58">
        <v>28.695</v>
      </c>
      <c r="H11" s="16" t="s">
        <v>230</v>
      </c>
      <c r="I11" s="17" t="str">
        <f t="shared" si="0"/>
        <v>STATION ON STREAM</v>
      </c>
      <c r="J11" s="56">
        <v>95.28125</v>
      </c>
    </row>
    <row r="12" spans="1:10" ht="35.15" customHeight="1">
      <c r="A12" s="6"/>
      <c r="B12" s="7"/>
      <c r="C12" s="81"/>
      <c r="D12" s="12"/>
      <c r="E12" s="9" t="s">
        <v>24</v>
      </c>
      <c r="F12" s="10">
        <v>0</v>
      </c>
      <c r="G12" s="58">
        <v>0</v>
      </c>
      <c r="H12" s="16" t="s">
        <v>231</v>
      </c>
      <c r="I12" s="17" t="str">
        <f t="shared" si="0"/>
        <v>STATION ON STANDBY</v>
      </c>
      <c r="J12" s="56">
        <v>0</v>
      </c>
    </row>
    <row r="13" spans="1:10" ht="35.15" customHeight="1">
      <c r="A13" s="6"/>
      <c r="B13" s="7"/>
      <c r="C13" s="81"/>
      <c r="D13" s="12"/>
      <c r="E13" s="9" t="s">
        <v>25</v>
      </c>
      <c r="F13" s="10">
        <v>58.33</v>
      </c>
      <c r="G13" s="58">
        <v>64.888000000000005</v>
      </c>
      <c r="H13" s="11" t="s">
        <v>227</v>
      </c>
      <c r="I13" s="17" t="str">
        <f t="shared" si="0"/>
        <v>STATION ON STREAM</v>
      </c>
      <c r="J13" s="56">
        <v>277.31</v>
      </c>
    </row>
    <row r="14" spans="1:10" ht="35.15" customHeight="1">
      <c r="A14" s="6"/>
      <c r="B14" s="7"/>
      <c r="C14" s="81"/>
      <c r="D14" s="12"/>
      <c r="E14" s="13" t="s">
        <v>13</v>
      </c>
      <c r="F14" s="14"/>
      <c r="G14" s="57">
        <f>SUM(G8:G13)</f>
        <v>139.37700000000001</v>
      </c>
      <c r="H14" s="15"/>
      <c r="I14" s="17"/>
      <c r="J14" s="19">
        <f>SUM(J8:J13)</f>
        <v>561.63125000000002</v>
      </c>
    </row>
    <row r="15" spans="1:10" ht="35.15" customHeight="1">
      <c r="A15" s="6"/>
      <c r="B15" s="7"/>
      <c r="C15" s="69"/>
      <c r="D15" s="8"/>
      <c r="E15" s="9" t="s">
        <v>27</v>
      </c>
      <c r="F15" s="21"/>
      <c r="G15" s="21">
        <v>59.2</v>
      </c>
      <c r="H15" s="11" t="s">
        <v>28</v>
      </c>
      <c r="I15" s="17" t="str">
        <f t="shared" ref="I15:I18" si="1">IF($G15&gt;0,"STATION ON STREAM",IF(AND($G15=0,$H15&gt;0),"STATION ON STANDBY","STATION ON SHUTDOWN"))</f>
        <v>STATION ON STREAM</v>
      </c>
      <c r="J15" s="17"/>
    </row>
    <row r="16" spans="1:10" ht="35.15" customHeight="1">
      <c r="A16" s="6"/>
      <c r="B16" s="7"/>
      <c r="C16" s="70"/>
      <c r="D16" s="12"/>
      <c r="E16" s="9" t="s">
        <v>29</v>
      </c>
      <c r="F16" s="21"/>
      <c r="G16" s="58">
        <v>10.763999999999999</v>
      </c>
      <c r="H16" s="11" t="s">
        <v>125</v>
      </c>
      <c r="I16" s="17" t="str">
        <f t="shared" si="1"/>
        <v>STATION ON STREAM</v>
      </c>
      <c r="J16" s="17"/>
    </row>
    <row r="17" spans="1:10" ht="35.15" customHeight="1">
      <c r="A17" s="6"/>
      <c r="B17" s="7"/>
      <c r="C17" s="70"/>
      <c r="D17" s="12"/>
      <c r="E17" s="9" t="s">
        <v>31</v>
      </c>
      <c r="F17" s="21"/>
      <c r="G17" s="58">
        <v>0.121</v>
      </c>
      <c r="H17" s="11" t="s">
        <v>123</v>
      </c>
      <c r="I17" s="17" t="str">
        <f t="shared" si="1"/>
        <v>STATION ON STREAM</v>
      </c>
      <c r="J17" s="17"/>
    </row>
    <row r="18" spans="1:10" ht="35.15" customHeight="1">
      <c r="A18" s="6"/>
      <c r="B18" s="7"/>
      <c r="C18" s="70"/>
      <c r="D18" s="12"/>
      <c r="E18" s="9" t="s">
        <v>33</v>
      </c>
      <c r="F18" s="21"/>
      <c r="G18" s="58">
        <v>21.079000000000001</v>
      </c>
      <c r="H18" s="11" t="s">
        <v>228</v>
      </c>
      <c r="I18" s="17" t="str">
        <f t="shared" si="1"/>
        <v>STATION ON STREAM</v>
      </c>
      <c r="J18" s="17"/>
    </row>
    <row r="19" spans="1:10" ht="34.5" customHeight="1">
      <c r="A19" s="72"/>
      <c r="B19" s="73"/>
      <c r="C19" s="74"/>
      <c r="D19" s="12"/>
      <c r="E19" s="17" t="s">
        <v>47</v>
      </c>
      <c r="F19" s="49"/>
      <c r="G19" s="59">
        <v>0</v>
      </c>
      <c r="H19" s="16" t="s">
        <v>108</v>
      </c>
      <c r="I19" s="17" t="str">
        <f t="shared" ref="I19:I20" si="2">IF($G19&gt;0,"STATION ON STREAM",IF(AND($G19=0,$H19&gt;0),"STATION ON STANDBY","STATION ON SHUTDOWN"))</f>
        <v>STATION ON STANDBY</v>
      </c>
      <c r="J19" s="17"/>
    </row>
    <row r="20" spans="1:10" ht="34.5" customHeight="1">
      <c r="A20" s="72"/>
      <c r="B20" s="73"/>
      <c r="C20" s="74"/>
      <c r="D20" s="12"/>
      <c r="E20" s="17" t="s">
        <v>49</v>
      </c>
      <c r="F20" s="49"/>
      <c r="G20" s="59">
        <v>1.0999999999999999E-2</v>
      </c>
      <c r="H20" s="16" t="s">
        <v>39</v>
      </c>
      <c r="I20" s="17" t="str">
        <f t="shared" si="2"/>
        <v>STATION ON STREAM</v>
      </c>
      <c r="J20" s="17"/>
    </row>
    <row r="21" spans="1:10" ht="35.15" customHeight="1">
      <c r="A21" s="72"/>
      <c r="B21" s="73"/>
      <c r="C21" s="71"/>
      <c r="D21" s="12"/>
      <c r="E21" s="13" t="s">
        <v>13</v>
      </c>
      <c r="F21" s="14"/>
      <c r="G21" s="60">
        <f>SUM(G15:G20)</f>
        <v>91.174999999999983</v>
      </c>
      <c r="H21" s="20"/>
      <c r="I21" s="17"/>
      <c r="J21" s="17"/>
    </row>
    <row r="22" spans="1:10" ht="35.15" customHeight="1">
      <c r="A22" s="72"/>
      <c r="B22" s="73"/>
      <c r="C22" s="68"/>
      <c r="D22" s="12"/>
      <c r="E22" s="9" t="s">
        <v>50</v>
      </c>
      <c r="F22" s="21"/>
      <c r="G22" s="21">
        <v>1.84</v>
      </c>
      <c r="H22" s="21" t="s">
        <v>12</v>
      </c>
      <c r="I22" s="17" t="str">
        <f>IF($G22&gt;0,"STATION ON STREAM",IF(AND($G22=0,$H22&gt;0),"STATION ON STANDBY","STATION ON SHUTDOWN"))</f>
        <v>STATION ON STREAM</v>
      </c>
      <c r="J22" s="17"/>
    </row>
    <row r="23" spans="1:10" ht="35.15" customHeight="1">
      <c r="A23" s="72"/>
      <c r="B23" s="73"/>
      <c r="C23" s="68"/>
      <c r="D23" s="12"/>
      <c r="E23" s="13" t="s">
        <v>13</v>
      </c>
      <c r="F23" s="14"/>
      <c r="G23" s="61">
        <f>SUM(G22)</f>
        <v>1.84</v>
      </c>
      <c r="H23" s="23"/>
      <c r="I23" s="17"/>
      <c r="J23" s="17"/>
    </row>
    <row r="24" spans="1:10" ht="35.15" customHeight="1">
      <c r="A24" s="6"/>
      <c r="B24" s="24"/>
      <c r="C24" s="84" t="s">
        <v>51</v>
      </c>
      <c r="D24" s="12"/>
      <c r="E24" s="9" t="s">
        <v>52</v>
      </c>
      <c r="F24" s="50">
        <v>46</v>
      </c>
      <c r="G24" s="62">
        <v>47.832999999999998</v>
      </c>
      <c r="H24" s="22">
        <v>29</v>
      </c>
      <c r="I24" s="17" t="str">
        <f t="shared" ref="I24:I27" si="3">IF($G24&gt;0,"STATION ON STREAM",IF(AND($G24=0,$H24&gt;0),"STATION ON STANDBY","STATION ON SHUTDOWN"))</f>
        <v>STATION ON STREAM</v>
      </c>
      <c r="J24" s="17"/>
    </row>
    <row r="25" spans="1:10" ht="35.15" customHeight="1">
      <c r="A25" s="25"/>
      <c r="B25" s="24"/>
      <c r="C25" s="85"/>
      <c r="D25" s="12"/>
      <c r="E25" s="9" t="s">
        <v>53</v>
      </c>
      <c r="F25" s="50">
        <v>1</v>
      </c>
      <c r="G25" s="62">
        <v>1.0289999999999999</v>
      </c>
      <c r="H25" s="22" t="s">
        <v>54</v>
      </c>
      <c r="I25" s="17" t="str">
        <f t="shared" si="3"/>
        <v>STATION ON STREAM</v>
      </c>
      <c r="J25" s="17"/>
    </row>
    <row r="26" spans="1:10" ht="35.15" customHeight="1">
      <c r="A26" s="25"/>
      <c r="B26" s="24"/>
      <c r="C26" s="85"/>
      <c r="D26" s="8"/>
      <c r="E26" s="9" t="s">
        <v>55</v>
      </c>
      <c r="F26" s="50">
        <v>185</v>
      </c>
      <c r="G26" s="62">
        <v>190.69</v>
      </c>
      <c r="H26" s="22" t="s">
        <v>56</v>
      </c>
      <c r="I26" s="17" t="str">
        <f t="shared" si="3"/>
        <v>STATION ON STREAM</v>
      </c>
      <c r="J26" s="42"/>
    </row>
    <row r="27" spans="1:10" ht="35.15" customHeight="1">
      <c r="A27" s="25"/>
      <c r="B27" s="24"/>
      <c r="C27" s="86"/>
      <c r="D27" s="12"/>
      <c r="E27" s="9" t="s">
        <v>57</v>
      </c>
      <c r="F27" s="50">
        <v>0.3</v>
      </c>
      <c r="G27" s="62">
        <v>0.39800000000000002</v>
      </c>
      <c r="H27" s="22" t="s">
        <v>58</v>
      </c>
      <c r="I27" s="17" t="str">
        <f t="shared" si="3"/>
        <v>STATION ON STREAM</v>
      </c>
      <c r="J27" s="21">
        <v>0</v>
      </c>
    </row>
    <row r="28" spans="1:10" ht="35.15" customHeight="1">
      <c r="A28" s="25"/>
      <c r="B28" s="24"/>
      <c r="C28" s="87"/>
      <c r="D28" s="8"/>
      <c r="E28" s="13" t="s">
        <v>13</v>
      </c>
      <c r="F28" s="26"/>
      <c r="G28" s="57">
        <f>SUM(G24+G25+G26+G27)</f>
        <v>239.95</v>
      </c>
      <c r="H28" s="15"/>
      <c r="I28" s="17"/>
      <c r="J28" s="21"/>
    </row>
    <row r="29" spans="1:10" ht="35.15" customHeight="1">
      <c r="A29" s="25"/>
      <c r="B29" s="24"/>
      <c r="C29" s="84" t="s">
        <v>59</v>
      </c>
      <c r="D29" s="12"/>
      <c r="E29" s="9" t="s">
        <v>60</v>
      </c>
      <c r="F29" s="21">
        <v>140</v>
      </c>
      <c r="G29" s="58">
        <v>123.925</v>
      </c>
      <c r="H29" s="11">
        <v>32</v>
      </c>
      <c r="I29" s="17" t="str">
        <f>IF($G29&gt;0,"STATION ON STREAM",IF(AND($G29=0,$H29&gt;0),"STATION ON STANDBY","STATION ON SHUTDOWN"))</f>
        <v>STATION ON STREAM</v>
      </c>
      <c r="J29" s="21">
        <f>G35*4</f>
        <v>0</v>
      </c>
    </row>
    <row r="30" spans="1:10" ht="35.15" customHeight="1">
      <c r="A30" s="28"/>
      <c r="B30" s="29"/>
      <c r="C30" s="87"/>
      <c r="D30" s="12"/>
      <c r="E30" s="13" t="s">
        <v>13</v>
      </c>
      <c r="F30" s="14"/>
      <c r="G30" s="63">
        <f>SUM(G29)</f>
        <v>123.925</v>
      </c>
      <c r="H30" s="27"/>
      <c r="I30" s="17"/>
      <c r="J30" s="17"/>
    </row>
    <row r="31" spans="1:10" ht="35.15" customHeight="1">
      <c r="A31" s="25"/>
      <c r="B31" s="24"/>
      <c r="C31" s="30" t="s">
        <v>61</v>
      </c>
      <c r="D31" s="30"/>
      <c r="E31" s="13" t="s">
        <v>62</v>
      </c>
      <c r="F31" s="13"/>
      <c r="G31" s="66">
        <f>SUM(G7+G14+G21+G23+G28+G30)</f>
        <v>660.02299999999991</v>
      </c>
      <c r="H31" s="27"/>
      <c r="I31" s="17"/>
      <c r="J31" s="17"/>
    </row>
    <row r="32" spans="1:10" ht="34.5" customHeight="1">
      <c r="A32" s="32"/>
      <c r="B32" s="24"/>
      <c r="C32" s="84" t="s">
        <v>63</v>
      </c>
      <c r="D32" s="12"/>
      <c r="E32" s="9" t="s">
        <v>64</v>
      </c>
      <c r="F32" s="9"/>
      <c r="G32" s="67">
        <v>29.867000000000001</v>
      </c>
      <c r="H32" s="31" t="s">
        <v>65</v>
      </c>
      <c r="I32" s="17" t="str">
        <f>IF($G32&gt;0,"STATION ON STREAM",IF(AND($G32=0,$H32&gt;0),"STATION ON STANDBY","STATION ON SHUTDOWN"))</f>
        <v>STATION ON STREAM</v>
      </c>
      <c r="J32" s="17"/>
    </row>
    <row r="33" spans="1:11" ht="35.15" customHeight="1">
      <c r="A33" s="25"/>
      <c r="B33" s="24"/>
      <c r="C33" s="88"/>
      <c r="D33" s="8"/>
      <c r="E33" s="13" t="s">
        <v>13</v>
      </c>
      <c r="F33" s="14"/>
      <c r="G33" s="57">
        <f>SUM(G32)</f>
        <v>29.867000000000001</v>
      </c>
      <c r="H33" s="27"/>
      <c r="I33" s="17"/>
      <c r="J33" s="17"/>
    </row>
    <row r="34" spans="1:11" ht="35.15" customHeight="1">
      <c r="A34" s="25"/>
      <c r="B34" s="24"/>
      <c r="C34" s="84" t="s">
        <v>14</v>
      </c>
      <c r="D34" s="8"/>
      <c r="E34" s="9" t="s">
        <v>66</v>
      </c>
      <c r="F34" s="9"/>
      <c r="G34" s="9">
        <v>3.0129999999999999</v>
      </c>
      <c r="H34" s="31" t="s">
        <v>67</v>
      </c>
      <c r="I34" s="17" t="str">
        <f>IF($G34&gt;0,"STATION ON STREAM",IF(AND($G34=0,$H34&gt;0),"STATION ON STANDBY","STATION ON SHUTDOWN"))</f>
        <v>STATION ON STREAM</v>
      </c>
      <c r="J34" s="17"/>
    </row>
    <row r="35" spans="1:11" ht="35.15" customHeight="1">
      <c r="A35" s="25"/>
      <c r="B35" s="24"/>
      <c r="C35" s="85"/>
      <c r="D35" s="12"/>
      <c r="E35" s="9" t="s">
        <v>68</v>
      </c>
      <c r="F35" s="9"/>
      <c r="G35" s="65">
        <v>0</v>
      </c>
      <c r="H35" s="31" t="s">
        <v>65</v>
      </c>
      <c r="I35" s="17" t="str">
        <f>IF($G35&gt;0,"STATION ON STREAM",IF(AND($G35=0,$H35&gt;0),"STATION ON STANDBY","STATION ON SHUTDOWN"))</f>
        <v>STATION ON STANDBY</v>
      </c>
      <c r="J35" s="17"/>
    </row>
    <row r="36" spans="1:11" ht="35.25" customHeight="1">
      <c r="A36" s="25"/>
      <c r="B36" s="24"/>
      <c r="C36" s="85"/>
      <c r="D36" s="12"/>
      <c r="E36" s="13" t="s">
        <v>13</v>
      </c>
      <c r="F36" s="14"/>
      <c r="G36" s="57">
        <f>SUM(G34:G35)</f>
        <v>3.0129999999999999</v>
      </c>
      <c r="H36" s="27"/>
      <c r="I36" s="17"/>
      <c r="J36" s="17"/>
    </row>
    <row r="37" spans="1:11" ht="35.15" customHeight="1">
      <c r="A37" s="25"/>
      <c r="B37" s="24"/>
      <c r="C37" s="85"/>
      <c r="D37" s="12"/>
      <c r="E37" s="9" t="s">
        <v>69</v>
      </c>
      <c r="F37" s="9"/>
      <c r="G37" s="64">
        <v>0</v>
      </c>
      <c r="H37" s="31" t="s">
        <v>65</v>
      </c>
      <c r="I37" s="17" t="str">
        <f>IF($G37&gt;0,"STATION ON STREAM",IF(AND($G37=0,$H37&gt;0),"STATION ON STANDBY","STATION ON SHUTDOWN"))</f>
        <v>STATION ON STANDBY</v>
      </c>
      <c r="J37" s="17"/>
    </row>
    <row r="38" spans="1:11" ht="35.15" customHeight="1">
      <c r="A38" s="33" t="s">
        <v>70</v>
      </c>
      <c r="B38" s="24"/>
      <c r="C38" s="87"/>
      <c r="D38" s="12"/>
      <c r="E38" s="9" t="s">
        <v>71</v>
      </c>
      <c r="F38" s="9"/>
      <c r="G38" s="51">
        <v>0</v>
      </c>
      <c r="H38" s="31" t="s">
        <v>136</v>
      </c>
      <c r="I38" s="17" t="str">
        <f>IF($G38&gt;0,"STATION ON STREAM",IF(AND($G38=0,$H38&gt;0),"STATION ON STANDBY","STATION ON SHUTDOWN"))</f>
        <v>STATION ON STANDBY</v>
      </c>
      <c r="J38" s="17"/>
    </row>
    <row r="39" spans="1:11" ht="35.15" customHeight="1">
      <c r="A39" s="25"/>
      <c r="B39" s="24"/>
      <c r="C39" s="68"/>
      <c r="D39" s="12"/>
      <c r="E39" s="9" t="s">
        <v>72</v>
      </c>
      <c r="F39" s="9"/>
      <c r="G39" s="64">
        <v>0</v>
      </c>
      <c r="H39" s="31" t="s">
        <v>73</v>
      </c>
      <c r="I39" s="17" t="str">
        <f>IF($G39&gt;0,"STATION ON STREAM",IF(AND($G39=0,$H39&gt;0),"STATION ON STANDBY","STATION ON SHUTDOWN"))</f>
        <v>STATION ON STANDBY</v>
      </c>
      <c r="J39" s="17"/>
    </row>
    <row r="40" spans="1:11" ht="35.15" customHeight="1">
      <c r="A40" s="25"/>
      <c r="B40" s="24"/>
      <c r="C40" s="84" t="s">
        <v>74</v>
      </c>
      <c r="D40" s="8"/>
      <c r="E40" s="9" t="s">
        <v>75</v>
      </c>
      <c r="F40" s="9"/>
      <c r="G40" s="64">
        <v>1.7909999999999999</v>
      </c>
      <c r="H40" s="31" t="s">
        <v>97</v>
      </c>
      <c r="I40" s="17" t="str">
        <f>IF($G40&gt;0,"STATION ON STREAM",IF(AND($G40=0,$H40&gt;0),"STATION ON STANDBY","STATION ON SHUTDOWN"))</f>
        <v>STATION ON STREAM</v>
      </c>
      <c r="J40" s="17"/>
      <c r="K40" s="43"/>
    </row>
    <row r="41" spans="1:11" ht="35.15" customHeight="1">
      <c r="A41" s="25"/>
      <c r="B41" s="24"/>
      <c r="C41" s="88"/>
      <c r="D41" s="8"/>
      <c r="E41" s="13" t="s">
        <v>13</v>
      </c>
      <c r="F41" s="14"/>
      <c r="G41" s="57">
        <f>SUM(G37:G40)</f>
        <v>1.7909999999999999</v>
      </c>
      <c r="H41" s="27"/>
      <c r="I41" s="17"/>
      <c r="J41" s="17"/>
      <c r="K41" s="44"/>
    </row>
    <row r="42" spans="1:11" ht="35.15" customHeight="1">
      <c r="A42" s="32"/>
      <c r="B42" s="24"/>
      <c r="C42" s="69" t="s">
        <v>51</v>
      </c>
      <c r="D42" s="8"/>
      <c r="E42" s="9" t="s">
        <v>77</v>
      </c>
      <c r="F42" s="9"/>
      <c r="G42" s="52">
        <v>1.5289999999999999</v>
      </c>
      <c r="H42" s="35">
        <v>44</v>
      </c>
      <c r="I42" s="17" t="str">
        <f t="shared" ref="I42:I43" si="4">IF($G42&gt;0,"STATION ON STREAM",IF(AND($G42=0,$H42&gt;0),"STATION ON STANDBY","STATION ON SHUTDOWN"))</f>
        <v>STATION ON STREAM</v>
      </c>
      <c r="J42" s="42"/>
    </row>
    <row r="43" spans="1:11" ht="35.15" customHeight="1">
      <c r="A43" s="32"/>
      <c r="B43" s="24"/>
      <c r="C43" s="89"/>
      <c r="D43" s="8"/>
      <c r="E43" s="9" t="s">
        <v>78</v>
      </c>
      <c r="F43" s="9"/>
      <c r="G43" s="53">
        <v>0</v>
      </c>
      <c r="H43" s="35">
        <v>0</v>
      </c>
      <c r="I43" s="17" t="str">
        <f t="shared" si="4"/>
        <v>STATION ON SHUTDOWN</v>
      </c>
      <c r="J43" s="17"/>
    </row>
    <row r="44" spans="1:11" ht="35.15" customHeight="1">
      <c r="A44" s="36"/>
      <c r="B44" s="36"/>
      <c r="C44" s="89"/>
      <c r="D44" s="8"/>
      <c r="E44" s="9" t="s">
        <v>79</v>
      </c>
      <c r="F44" s="9"/>
      <c r="G44" s="53">
        <v>2.4500000000000002</v>
      </c>
      <c r="H44" s="35">
        <v>15</v>
      </c>
      <c r="I44" s="17" t="str">
        <f>IF($G45&gt;0,"STATION ON STREAM",IF(AND($G45=0,$H44&gt;0),"STATION ON STANDBY","STATION ON SHUTDOWN"))</f>
        <v>STATION ON STANDBY</v>
      </c>
      <c r="J44" s="42"/>
    </row>
    <row r="45" spans="1:11" ht="26.25" customHeight="1">
      <c r="A45" s="36"/>
      <c r="B45" s="36"/>
      <c r="C45" s="90"/>
      <c r="D45" s="8"/>
      <c r="E45" s="9" t="s">
        <v>80</v>
      </c>
      <c r="F45" s="9"/>
      <c r="G45" s="51">
        <v>0</v>
      </c>
      <c r="H45" s="35">
        <v>35</v>
      </c>
      <c r="I45" s="17" t="str">
        <f>IF($G45&gt;0,"STATION ON STREAM",IF(AND($G45=0,$H45&gt;0),"STATION ON STANDBY","STATION ON SHUTDOWN"))</f>
        <v>STATION ON STANDBY</v>
      </c>
      <c r="J45" s="42"/>
    </row>
    <row r="46" spans="1:11" ht="21" customHeight="1">
      <c r="A46" s="82"/>
      <c r="B46" s="83"/>
      <c r="C46" s="30"/>
      <c r="D46" s="12"/>
      <c r="E46" s="13" t="s">
        <v>13</v>
      </c>
      <c r="F46" s="14" t="s">
        <v>62</v>
      </c>
      <c r="G46" s="57">
        <f>SUM(G42:G45)</f>
        <v>3.9790000000000001</v>
      </c>
      <c r="H46" s="37"/>
      <c r="I46" s="14" t="s">
        <v>81</v>
      </c>
      <c r="J46" s="42"/>
    </row>
    <row r="47" spans="1:11" ht="25.5" customHeight="1">
      <c r="A47" s="38"/>
      <c r="B47" s="38"/>
      <c r="C47" s="30" t="s">
        <v>61</v>
      </c>
      <c r="D47" s="30"/>
      <c r="E47" s="13" t="s">
        <v>62</v>
      </c>
      <c r="F47" s="13" t="s">
        <v>62</v>
      </c>
      <c r="G47" s="57">
        <f>SUM(G33+G36+G41+G46)</f>
        <v>38.65</v>
      </c>
      <c r="H47" s="37"/>
      <c r="I47" s="13" t="s">
        <v>62</v>
      </c>
      <c r="J47" s="45"/>
    </row>
    <row r="48" spans="1:11" ht="18.5">
      <c r="A48" s="38"/>
      <c r="B48" s="38"/>
      <c r="C48" s="30" t="s">
        <v>82</v>
      </c>
      <c r="D48" s="30"/>
      <c r="E48" s="13" t="s">
        <v>62</v>
      </c>
      <c r="F48" s="13" t="s">
        <v>62</v>
      </c>
      <c r="G48" s="66">
        <f>SUM(G31+G47)</f>
        <v>698.67299999999989</v>
      </c>
      <c r="H48" s="39"/>
      <c r="I48" s="46"/>
      <c r="J48" s="47">
        <f>J14+J47+J7</f>
        <v>815.05124999999998</v>
      </c>
    </row>
    <row r="49" spans="1:10" ht="18.5">
      <c r="A49" s="38"/>
      <c r="B49" s="38"/>
      <c r="C49" s="34"/>
      <c r="D49" s="34"/>
      <c r="E49" s="34"/>
      <c r="F49" s="40"/>
      <c r="G49" s="40"/>
      <c r="H49" s="41"/>
      <c r="I49" s="40"/>
      <c r="J49" s="48"/>
    </row>
    <row r="50" spans="1:10" ht="18.5">
      <c r="C50" s="34"/>
      <c r="D50" s="34"/>
      <c r="E50" s="34"/>
      <c r="F50" s="34"/>
      <c r="G50" s="40"/>
      <c r="H50" s="41"/>
      <c r="I50" s="34"/>
      <c r="J50" s="34"/>
    </row>
  </sheetData>
  <sheetProtection formatCells="0" formatColumns="0" formatRows="0" insertColumns="0" insertRows="0"/>
  <mergeCells count="15">
    <mergeCell ref="C15:C18"/>
    <mergeCell ref="A19:B23"/>
    <mergeCell ref="C19:C21"/>
    <mergeCell ref="A1:J2"/>
    <mergeCell ref="A3:J3"/>
    <mergeCell ref="A5:B5"/>
    <mergeCell ref="C6:C7"/>
    <mergeCell ref="C8:C14"/>
    <mergeCell ref="A46:B46"/>
    <mergeCell ref="C24:C28"/>
    <mergeCell ref="C29:C30"/>
    <mergeCell ref="C32:C33"/>
    <mergeCell ref="C34:C38"/>
    <mergeCell ref="C40:C41"/>
    <mergeCell ref="C42:C45"/>
  </mergeCells>
  <printOptions horizontalCentered="1"/>
  <pageMargins left="0.196850393700787" right="0.196850393700787" top="0" bottom="0" header="0.118110236220472" footer="0.118110236220472"/>
  <pageSetup paperSize="9" scale="40" fitToHeight="0" orientation="portrait" verticalDpi="300" r:id="rId1"/>
  <headerFooter alignWithMargins="0">
    <oddHeader>&amp;C&amp;KFFA500&amp;10&amp;"Calibri"Confidential: Internal Use Only</oddHeader>
    <oddFooter>&amp;C&amp;KFFA500&amp;10&amp;"Calibri"Confidential: Internal Use Only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17301-006E-444E-8225-F15DE2DDDD48}">
  <sheetPr>
    <pageSetUpPr fitToPage="1"/>
  </sheetPr>
  <dimension ref="A1:K50"/>
  <sheetViews>
    <sheetView showGridLines="0" tabSelected="1" view="pageBreakPreview" zoomScale="73" zoomScaleNormal="55" zoomScaleSheetLayoutView="73" zoomScalePageLayoutView="10" workbookViewId="0">
      <selection activeCell="A53" sqref="A50:XFD53"/>
    </sheetView>
  </sheetViews>
  <sheetFormatPr defaultColWidth="9" defaultRowHeight="14.5"/>
  <cols>
    <col min="1" max="1" width="15.26953125" customWidth="1"/>
    <col min="2" max="2" width="2.90625" customWidth="1"/>
    <col min="3" max="3" width="18.7265625" customWidth="1"/>
    <col min="4" max="4" width="29.7265625" customWidth="1"/>
    <col min="5" max="5" width="44.08984375" customWidth="1"/>
    <col min="6" max="6" width="22.26953125" customWidth="1"/>
    <col min="7" max="7" width="21" customWidth="1"/>
    <col min="8" max="8" width="23" style="1" customWidth="1"/>
    <col min="9" max="9" width="38.6328125" customWidth="1"/>
    <col min="10" max="10" width="20.36328125" customWidth="1"/>
    <col min="14" max="14" width="8.7265625" customWidth="1"/>
    <col min="15" max="15" width="8.08984375" customWidth="1"/>
    <col min="17" max="17" width="9.26953125" customWidth="1"/>
    <col min="21" max="21" width="9.08984375" customWidth="1"/>
  </cols>
  <sheetData>
    <row r="1" spans="1:10" ht="59.25" customHeight="1">
      <c r="A1" s="75" t="s">
        <v>0</v>
      </c>
      <c r="B1" s="75"/>
      <c r="C1" s="75"/>
      <c r="D1" s="75"/>
      <c r="E1" s="75"/>
      <c r="F1" s="75"/>
      <c r="G1" s="75"/>
      <c r="H1" s="75"/>
      <c r="I1" s="75"/>
      <c r="J1" s="75"/>
    </row>
    <row r="2" spans="1:10" ht="18.75" customHeight="1">
      <c r="A2" s="75"/>
      <c r="B2" s="75"/>
      <c r="C2" s="75"/>
      <c r="D2" s="75"/>
      <c r="E2" s="75"/>
      <c r="F2" s="75"/>
      <c r="G2" s="75"/>
      <c r="H2" s="75"/>
      <c r="I2" s="75"/>
      <c r="J2" s="75"/>
    </row>
    <row r="3" spans="1:10" ht="33" customHeight="1">
      <c r="A3" s="76" t="s">
        <v>242</v>
      </c>
      <c r="B3" s="77"/>
      <c r="C3" s="77"/>
      <c r="D3" s="77"/>
      <c r="E3" s="77"/>
      <c r="F3" s="77"/>
      <c r="G3" s="77"/>
      <c r="H3" s="77"/>
      <c r="I3" s="77"/>
      <c r="J3" s="77"/>
    </row>
    <row r="4" spans="1:10" ht="9.75" customHeight="1">
      <c r="A4" s="2"/>
      <c r="B4" s="2"/>
      <c r="C4" s="2"/>
      <c r="D4" s="2"/>
      <c r="E4" s="2"/>
      <c r="F4" s="2"/>
      <c r="G4" s="2"/>
      <c r="H4" s="3"/>
      <c r="I4" s="2" t="s">
        <v>1</v>
      </c>
      <c r="J4" s="2"/>
    </row>
    <row r="5" spans="1:10" ht="43">
      <c r="A5" s="78" t="s">
        <v>2</v>
      </c>
      <c r="B5" s="79"/>
      <c r="C5" s="4" t="s">
        <v>3</v>
      </c>
      <c r="D5" s="4"/>
      <c r="E5" s="4" t="s">
        <v>4</v>
      </c>
      <c r="F5" s="4" t="s">
        <v>5</v>
      </c>
      <c r="G5" s="4" t="s">
        <v>6</v>
      </c>
      <c r="H5" s="5" t="s">
        <v>7</v>
      </c>
      <c r="I5" s="4" t="s">
        <v>8</v>
      </c>
      <c r="J5" s="18" t="s">
        <v>9</v>
      </c>
    </row>
    <row r="6" spans="1:10" ht="40.5" customHeight="1">
      <c r="A6" s="6"/>
      <c r="B6" s="7"/>
      <c r="C6" s="80" t="s">
        <v>10</v>
      </c>
      <c r="D6" s="8"/>
      <c r="E6" s="9" t="s">
        <v>11</v>
      </c>
      <c r="F6" s="54">
        <v>48.95</v>
      </c>
      <c r="G6" s="54">
        <v>62.31</v>
      </c>
      <c r="H6" s="55" t="s">
        <v>12</v>
      </c>
      <c r="I6" s="17" t="str">
        <f>IF($G6&gt;0,"STATION ON STREAM",IF(AND($G6=0,$H6&gt;0),"STATION ON STANDBY","STATION ON SHUTDOWN"))</f>
        <v>STATION ON STREAM</v>
      </c>
      <c r="J6" s="56">
        <v>246.83</v>
      </c>
    </row>
    <row r="7" spans="1:10" ht="35.15" customHeight="1">
      <c r="A7" s="6"/>
      <c r="B7" s="7"/>
      <c r="C7" s="81"/>
      <c r="D7" s="12"/>
      <c r="E7" s="13" t="s">
        <v>13</v>
      </c>
      <c r="F7" s="14"/>
      <c r="G7" s="57">
        <f>G6</f>
        <v>62.31</v>
      </c>
      <c r="H7" s="15"/>
      <c r="I7" s="17"/>
      <c r="J7" s="19">
        <f>J6</f>
        <v>246.83</v>
      </c>
    </row>
    <row r="8" spans="1:10" ht="29.25" customHeight="1">
      <c r="A8" s="6"/>
      <c r="B8" s="7"/>
      <c r="C8" s="81"/>
      <c r="D8" s="12"/>
      <c r="E8" s="9" t="s">
        <v>19</v>
      </c>
      <c r="F8" s="10">
        <v>30</v>
      </c>
      <c r="G8" s="58">
        <v>26.515999999999998</v>
      </c>
      <c r="H8" s="16" t="s">
        <v>233</v>
      </c>
      <c r="I8" s="17" t="str">
        <f>IF($G8&gt;0,"STATION ON STREAM",IF(AND($G8=0,$H9&gt;0),"STATION ON STANDBY","STATION ON SHUTDOWN"))</f>
        <v>STATION ON STREAM</v>
      </c>
      <c r="J8" s="56">
        <v>101.36</v>
      </c>
    </row>
    <row r="9" spans="1:10" ht="35.15" customHeight="1">
      <c r="A9" s="6"/>
      <c r="B9" s="7"/>
      <c r="C9" s="81"/>
      <c r="D9" s="12"/>
      <c r="E9" s="9" t="s">
        <v>20</v>
      </c>
      <c r="F9" s="10">
        <v>0</v>
      </c>
      <c r="G9" s="58">
        <v>0</v>
      </c>
      <c r="H9" s="16" t="s">
        <v>223</v>
      </c>
      <c r="I9" s="17" t="str">
        <f t="shared" ref="I9:I13" si="0">IF($G9&gt;0,"STATION ON STREAM",IF(AND($G9=0,$H9&gt;0),"STATION ON STANDBY","STATION ON SHUTDOWN"))</f>
        <v>STATION ON STANDBY</v>
      </c>
      <c r="J9" s="56">
        <v>0</v>
      </c>
    </row>
    <row r="10" spans="1:10" ht="35.15" customHeight="1">
      <c r="A10" s="6"/>
      <c r="B10" s="7"/>
      <c r="C10" s="81"/>
      <c r="D10" s="12"/>
      <c r="E10" s="9" t="s">
        <v>22</v>
      </c>
      <c r="F10" s="21">
        <v>20</v>
      </c>
      <c r="G10" s="58">
        <v>27.155000000000001</v>
      </c>
      <c r="H10" s="16" t="s">
        <v>232</v>
      </c>
      <c r="I10" s="17" t="str">
        <f t="shared" si="0"/>
        <v>STATION ON STREAM</v>
      </c>
      <c r="J10" s="56">
        <v>97.23</v>
      </c>
    </row>
    <row r="11" spans="1:10" ht="35.15" customHeight="1">
      <c r="A11" s="6"/>
      <c r="B11" s="7"/>
      <c r="C11" s="81"/>
      <c r="D11" s="12"/>
      <c r="E11" s="9" t="s">
        <v>23</v>
      </c>
      <c r="F11" s="10">
        <v>25</v>
      </c>
      <c r="G11" s="58">
        <v>29.757999999999999</v>
      </c>
      <c r="H11" s="16" t="s">
        <v>221</v>
      </c>
      <c r="I11" s="17" t="str">
        <f t="shared" si="0"/>
        <v>STATION ON STREAM</v>
      </c>
      <c r="J11" s="56">
        <v>102.375</v>
      </c>
    </row>
    <row r="12" spans="1:10" ht="35.15" customHeight="1">
      <c r="A12" s="6"/>
      <c r="B12" s="7"/>
      <c r="C12" s="81"/>
      <c r="D12" s="12"/>
      <c r="E12" s="9" t="s">
        <v>24</v>
      </c>
      <c r="F12" s="10">
        <v>0</v>
      </c>
      <c r="G12" s="58">
        <v>0</v>
      </c>
      <c r="H12" s="16" t="s">
        <v>231</v>
      </c>
      <c r="I12" s="17" t="str">
        <f t="shared" si="0"/>
        <v>STATION ON STANDBY</v>
      </c>
      <c r="J12" s="56">
        <v>0</v>
      </c>
    </row>
    <row r="13" spans="1:10" ht="35.15" customHeight="1">
      <c r="A13" s="6"/>
      <c r="B13" s="7"/>
      <c r="C13" s="81"/>
      <c r="D13" s="12"/>
      <c r="E13" s="9" t="s">
        <v>25</v>
      </c>
      <c r="F13" s="10">
        <v>58.53</v>
      </c>
      <c r="G13" s="58">
        <v>64.837999999999994</v>
      </c>
      <c r="H13" s="11" t="s">
        <v>224</v>
      </c>
      <c r="I13" s="17" t="str">
        <f t="shared" si="0"/>
        <v>STATION ON STREAM</v>
      </c>
      <c r="J13" s="56">
        <v>274.95999999999998</v>
      </c>
    </row>
    <row r="14" spans="1:10" ht="35.15" customHeight="1">
      <c r="A14" s="6"/>
      <c r="B14" s="7"/>
      <c r="C14" s="81"/>
      <c r="D14" s="12"/>
      <c r="E14" s="13" t="s">
        <v>13</v>
      </c>
      <c r="F14" s="14"/>
      <c r="G14" s="57">
        <f>SUM(G8:G13)</f>
        <v>148.267</v>
      </c>
      <c r="H14" s="15"/>
      <c r="I14" s="17"/>
      <c r="J14" s="19">
        <f>SUM(J8:J13)</f>
        <v>575.92499999999995</v>
      </c>
    </row>
    <row r="15" spans="1:10" ht="35.15" customHeight="1">
      <c r="A15" s="6"/>
      <c r="B15" s="7"/>
      <c r="C15" s="69"/>
      <c r="D15" s="8"/>
      <c r="E15" s="9" t="s">
        <v>27</v>
      </c>
      <c r="F15" s="21"/>
      <c r="G15" s="21">
        <v>59.9</v>
      </c>
      <c r="H15" s="11" t="s">
        <v>234</v>
      </c>
      <c r="I15" s="17" t="str">
        <f t="shared" ref="I15:I18" si="1">IF($G15&gt;0,"STATION ON STREAM",IF(AND($G15=0,$H15&gt;0),"STATION ON STANDBY","STATION ON SHUTDOWN"))</f>
        <v>STATION ON STREAM</v>
      </c>
      <c r="J15" s="17"/>
    </row>
    <row r="16" spans="1:10" ht="35.15" customHeight="1">
      <c r="A16" s="6"/>
      <c r="B16" s="7"/>
      <c r="C16" s="70"/>
      <c r="D16" s="12"/>
      <c r="E16" s="9" t="s">
        <v>29</v>
      </c>
      <c r="F16" s="21"/>
      <c r="G16" s="58">
        <v>10.295999999999999</v>
      </c>
      <c r="H16" s="11" t="s">
        <v>235</v>
      </c>
      <c r="I16" s="17" t="str">
        <f t="shared" si="1"/>
        <v>STATION ON STREAM</v>
      </c>
      <c r="J16" s="17"/>
    </row>
    <row r="17" spans="1:10" ht="35.15" customHeight="1">
      <c r="A17" s="6"/>
      <c r="B17" s="7"/>
      <c r="C17" s="70"/>
      <c r="D17" s="12"/>
      <c r="E17" s="9" t="s">
        <v>31</v>
      </c>
      <c r="F17" s="21"/>
      <c r="G17" s="58">
        <v>5.8999999999999997E-2</v>
      </c>
      <c r="H17" s="11" t="s">
        <v>123</v>
      </c>
      <c r="I17" s="17" t="str">
        <f t="shared" si="1"/>
        <v>STATION ON STREAM</v>
      </c>
      <c r="J17" s="17"/>
    </row>
    <row r="18" spans="1:10" ht="35.15" customHeight="1">
      <c r="A18" s="6"/>
      <c r="B18" s="7"/>
      <c r="C18" s="70"/>
      <c r="D18" s="12"/>
      <c r="E18" s="9" t="s">
        <v>33</v>
      </c>
      <c r="F18" s="21"/>
      <c r="G18" s="58">
        <v>26.928000000000001</v>
      </c>
      <c r="H18" s="11" t="s">
        <v>236</v>
      </c>
      <c r="I18" s="17" t="str">
        <f t="shared" si="1"/>
        <v>STATION ON STREAM</v>
      </c>
      <c r="J18" s="17"/>
    </row>
    <row r="19" spans="1:10" ht="34.5" customHeight="1">
      <c r="A19" s="72"/>
      <c r="B19" s="73"/>
      <c r="C19" s="74"/>
      <c r="D19" s="12"/>
      <c r="E19" s="17" t="s">
        <v>47</v>
      </c>
      <c r="F19" s="49"/>
      <c r="G19" s="59">
        <v>2.5999999999999999E-2</v>
      </c>
      <c r="H19" s="16" t="s">
        <v>48</v>
      </c>
      <c r="I19" s="17" t="str">
        <f t="shared" ref="I19:I20" si="2">IF($G19&gt;0,"STATION ON STREAM",IF(AND($G19=0,$H19&gt;0),"STATION ON STANDBY","STATION ON SHUTDOWN"))</f>
        <v>STATION ON STREAM</v>
      </c>
      <c r="J19" s="17"/>
    </row>
    <row r="20" spans="1:10" ht="34.5" customHeight="1">
      <c r="A20" s="72"/>
      <c r="B20" s="73"/>
      <c r="C20" s="74"/>
      <c r="D20" s="12"/>
      <c r="E20" s="17" t="s">
        <v>49</v>
      </c>
      <c r="F20" s="49"/>
      <c r="G20" s="59">
        <v>1.2E-2</v>
      </c>
      <c r="H20" s="16" t="s">
        <v>39</v>
      </c>
      <c r="I20" s="17" t="str">
        <f t="shared" si="2"/>
        <v>STATION ON STREAM</v>
      </c>
      <c r="J20" s="17"/>
    </row>
    <row r="21" spans="1:10" ht="35.15" customHeight="1">
      <c r="A21" s="72"/>
      <c r="B21" s="73"/>
      <c r="C21" s="71"/>
      <c r="D21" s="12"/>
      <c r="E21" s="13" t="s">
        <v>13</v>
      </c>
      <c r="F21" s="14"/>
      <c r="G21" s="60">
        <f>SUM(G15:G20)</f>
        <v>97.220999999999989</v>
      </c>
      <c r="H21" s="20"/>
      <c r="I21" s="17"/>
      <c r="J21" s="17"/>
    </row>
    <row r="22" spans="1:10" ht="35.15" customHeight="1">
      <c r="A22" s="72"/>
      <c r="B22" s="73"/>
      <c r="C22" s="68"/>
      <c r="D22" s="12"/>
      <c r="E22" s="9" t="s">
        <v>50</v>
      </c>
      <c r="F22" s="21"/>
      <c r="G22" s="21">
        <v>1.86</v>
      </c>
      <c r="H22" s="21" t="s">
        <v>12</v>
      </c>
      <c r="I22" s="17" t="str">
        <f>IF($G22&gt;0,"STATION ON STREAM",IF(AND($G22=0,$H22&gt;0),"STATION ON STANDBY","STATION ON SHUTDOWN"))</f>
        <v>STATION ON STREAM</v>
      </c>
      <c r="J22" s="17"/>
    </row>
    <row r="23" spans="1:10" ht="35.15" customHeight="1">
      <c r="A23" s="72"/>
      <c r="B23" s="73"/>
      <c r="C23" s="68"/>
      <c r="D23" s="12"/>
      <c r="E23" s="13" t="s">
        <v>13</v>
      </c>
      <c r="F23" s="14"/>
      <c r="G23" s="61">
        <f>SUM(G22)</f>
        <v>1.86</v>
      </c>
      <c r="H23" s="23"/>
      <c r="I23" s="17"/>
      <c r="J23" s="17"/>
    </row>
    <row r="24" spans="1:10" ht="35.15" customHeight="1">
      <c r="A24" s="6"/>
      <c r="B24" s="24"/>
      <c r="C24" s="84" t="s">
        <v>51</v>
      </c>
      <c r="D24" s="12"/>
      <c r="E24" s="9" t="s">
        <v>52</v>
      </c>
      <c r="F24" s="50">
        <v>47</v>
      </c>
      <c r="G24" s="62">
        <v>47.924999999999997</v>
      </c>
      <c r="H24" s="22">
        <v>27</v>
      </c>
      <c r="I24" s="17" t="str">
        <f t="shared" ref="I24:I27" si="3">IF($G24&gt;0,"STATION ON STREAM",IF(AND($G24=0,$H24&gt;0),"STATION ON STANDBY","STATION ON SHUTDOWN"))</f>
        <v>STATION ON STREAM</v>
      </c>
      <c r="J24" s="17"/>
    </row>
    <row r="25" spans="1:10" ht="35.15" customHeight="1">
      <c r="A25" s="25"/>
      <c r="B25" s="24"/>
      <c r="C25" s="85"/>
      <c r="D25" s="12"/>
      <c r="E25" s="9" t="s">
        <v>53</v>
      </c>
      <c r="F25" s="50">
        <v>1</v>
      </c>
      <c r="G25" s="62">
        <v>0.98599999999999999</v>
      </c>
      <c r="H25" s="22" t="s">
        <v>54</v>
      </c>
      <c r="I25" s="17" t="str">
        <f t="shared" si="3"/>
        <v>STATION ON STREAM</v>
      </c>
      <c r="J25" s="17"/>
    </row>
    <row r="26" spans="1:10" ht="35.15" customHeight="1">
      <c r="A26" s="25"/>
      <c r="B26" s="24"/>
      <c r="C26" s="85"/>
      <c r="D26" s="8"/>
      <c r="E26" s="9" t="s">
        <v>55</v>
      </c>
      <c r="F26" s="50">
        <v>186</v>
      </c>
      <c r="G26" s="62">
        <v>190.19</v>
      </c>
      <c r="H26" s="22" t="s">
        <v>237</v>
      </c>
      <c r="I26" s="17" t="str">
        <f t="shared" si="3"/>
        <v>STATION ON STREAM</v>
      </c>
      <c r="J26" s="42"/>
    </row>
    <row r="27" spans="1:10" ht="35.15" customHeight="1">
      <c r="A27" s="25"/>
      <c r="B27" s="24"/>
      <c r="C27" s="86"/>
      <c r="D27" s="12"/>
      <c r="E27" s="9" t="s">
        <v>57</v>
      </c>
      <c r="F27" s="50">
        <v>0.3</v>
      </c>
      <c r="G27" s="62">
        <v>0.38500000000000001</v>
      </c>
      <c r="H27" s="22" t="s">
        <v>58</v>
      </c>
      <c r="I27" s="17" t="str">
        <f t="shared" si="3"/>
        <v>STATION ON STREAM</v>
      </c>
      <c r="J27" s="21">
        <v>0</v>
      </c>
    </row>
    <row r="28" spans="1:10" ht="35.15" customHeight="1">
      <c r="A28" s="25"/>
      <c r="B28" s="24"/>
      <c r="C28" s="87"/>
      <c r="D28" s="8"/>
      <c r="E28" s="13" t="s">
        <v>13</v>
      </c>
      <c r="F28" s="26"/>
      <c r="G28" s="57">
        <f>SUM(G24+G25+G26+G27)</f>
        <v>239.48599999999999</v>
      </c>
      <c r="H28" s="15"/>
      <c r="I28" s="17"/>
      <c r="J28" s="21"/>
    </row>
    <row r="29" spans="1:10" ht="35.15" customHeight="1">
      <c r="A29" s="25"/>
      <c r="B29" s="24"/>
      <c r="C29" s="84" t="s">
        <v>59</v>
      </c>
      <c r="D29" s="12"/>
      <c r="E29" s="9" t="s">
        <v>60</v>
      </c>
      <c r="F29" s="21">
        <v>140</v>
      </c>
      <c r="G29" s="58">
        <v>121.67100000000001</v>
      </c>
      <c r="H29" s="11">
        <v>30</v>
      </c>
      <c r="I29" s="17" t="str">
        <f>IF($G29&gt;0,"STATION ON STREAM",IF(AND($G29=0,$H29&gt;0),"STATION ON STANDBY","STATION ON SHUTDOWN"))</f>
        <v>STATION ON STREAM</v>
      </c>
      <c r="J29" s="21">
        <f>G35*4</f>
        <v>0</v>
      </c>
    </row>
    <row r="30" spans="1:10" ht="35.15" customHeight="1">
      <c r="A30" s="28"/>
      <c r="B30" s="29"/>
      <c r="C30" s="87"/>
      <c r="D30" s="12"/>
      <c r="E30" s="13" t="s">
        <v>13</v>
      </c>
      <c r="F30" s="14"/>
      <c r="G30" s="63">
        <f>SUM(G29)</f>
        <v>121.67100000000001</v>
      </c>
      <c r="H30" s="27"/>
      <c r="I30" s="17"/>
      <c r="J30" s="17"/>
    </row>
    <row r="31" spans="1:10" ht="35.15" customHeight="1">
      <c r="A31" s="25"/>
      <c r="B31" s="24"/>
      <c r="C31" s="30" t="s">
        <v>61</v>
      </c>
      <c r="D31" s="30"/>
      <c r="E31" s="13" t="s">
        <v>62</v>
      </c>
      <c r="F31" s="13"/>
      <c r="G31" s="66">
        <f>SUM(G7+G14+G21+G23+G28+G30)</f>
        <v>670.81500000000005</v>
      </c>
      <c r="H31" s="27"/>
      <c r="I31" s="17"/>
      <c r="J31" s="17"/>
    </row>
    <row r="32" spans="1:10" ht="34.5" customHeight="1">
      <c r="A32" s="32"/>
      <c r="B32" s="24"/>
      <c r="C32" s="84" t="s">
        <v>63</v>
      </c>
      <c r="D32" s="12"/>
      <c r="E32" s="9" t="s">
        <v>64</v>
      </c>
      <c r="F32" s="9"/>
      <c r="G32" s="67"/>
      <c r="H32" s="31" t="s">
        <v>65</v>
      </c>
      <c r="I32" s="17" t="str">
        <f>IF($G32&gt;0,"STATION ON STREAM",IF(AND($G32=0,$H32&gt;0),"STATION ON STANDBY","STATION ON SHUTDOWN"))</f>
        <v>STATION ON STANDBY</v>
      </c>
      <c r="J32" s="17"/>
    </row>
    <row r="33" spans="1:11" ht="35.15" customHeight="1">
      <c r="A33" s="25"/>
      <c r="B33" s="24"/>
      <c r="C33" s="88"/>
      <c r="D33" s="8"/>
      <c r="E33" s="13" t="s">
        <v>13</v>
      </c>
      <c r="F33" s="14"/>
      <c r="G33" s="57">
        <f>SUM(G32)</f>
        <v>0</v>
      </c>
      <c r="H33" s="27"/>
      <c r="I33" s="17"/>
      <c r="J33" s="17"/>
    </row>
    <row r="34" spans="1:11" ht="35.15" customHeight="1">
      <c r="A34" s="25"/>
      <c r="B34" s="24"/>
      <c r="C34" s="84" t="s">
        <v>14</v>
      </c>
      <c r="D34" s="8"/>
      <c r="E34" s="9" t="s">
        <v>66</v>
      </c>
      <c r="F34" s="9"/>
      <c r="G34" s="9"/>
      <c r="H34" s="31" t="s">
        <v>67</v>
      </c>
      <c r="I34" s="17" t="str">
        <f>IF($G34&gt;0,"STATION ON STREAM",IF(AND($G34=0,$H34&gt;0),"STATION ON STANDBY","STATION ON SHUTDOWN"))</f>
        <v>STATION ON STANDBY</v>
      </c>
      <c r="J34" s="17"/>
    </row>
    <row r="35" spans="1:11" ht="35.15" customHeight="1">
      <c r="A35" s="25"/>
      <c r="B35" s="24"/>
      <c r="C35" s="85"/>
      <c r="D35" s="12"/>
      <c r="E35" s="9" t="s">
        <v>68</v>
      </c>
      <c r="F35" s="9"/>
      <c r="G35" s="65">
        <v>0</v>
      </c>
      <c r="H35" s="31" t="s">
        <v>65</v>
      </c>
      <c r="I35" s="17" t="str">
        <f>IF($G35&gt;0,"STATION ON STREAM",IF(AND($G35=0,$H35&gt;0),"STATION ON STANDBY","STATION ON SHUTDOWN"))</f>
        <v>STATION ON STANDBY</v>
      </c>
      <c r="J35" s="17"/>
    </row>
    <row r="36" spans="1:11" ht="35.25" customHeight="1">
      <c r="A36" s="25"/>
      <c r="B36" s="24"/>
      <c r="C36" s="85"/>
      <c r="D36" s="12"/>
      <c r="E36" s="13" t="s">
        <v>13</v>
      </c>
      <c r="F36" s="14"/>
      <c r="G36" s="57">
        <f>SUM(G34:G35)</f>
        <v>0</v>
      </c>
      <c r="H36" s="27"/>
      <c r="I36" s="17"/>
      <c r="J36" s="17"/>
    </row>
    <row r="37" spans="1:11" ht="35.15" customHeight="1">
      <c r="A37" s="25"/>
      <c r="B37" s="24"/>
      <c r="C37" s="85"/>
      <c r="D37" s="12"/>
      <c r="E37" s="9" t="s">
        <v>69</v>
      </c>
      <c r="F37" s="9"/>
      <c r="G37" s="64">
        <v>0</v>
      </c>
      <c r="H37" s="31" t="s">
        <v>65</v>
      </c>
      <c r="I37" s="17" t="str">
        <f>IF($G37&gt;0,"STATION ON STREAM",IF(AND($G37=0,$H37&gt;0),"STATION ON STANDBY","STATION ON SHUTDOWN"))</f>
        <v>STATION ON STANDBY</v>
      </c>
      <c r="J37" s="17"/>
    </row>
    <row r="38" spans="1:11" ht="35.15" customHeight="1">
      <c r="A38" s="33" t="s">
        <v>70</v>
      </c>
      <c r="B38" s="24"/>
      <c r="C38" s="87"/>
      <c r="D38" s="12"/>
      <c r="E38" s="9" t="s">
        <v>71</v>
      </c>
      <c r="F38" s="9"/>
      <c r="G38" s="51">
        <v>0</v>
      </c>
      <c r="H38" s="31" t="s">
        <v>136</v>
      </c>
      <c r="I38" s="17" t="str">
        <f>IF($G38&gt;0,"STATION ON STREAM",IF(AND($G38=0,$H38&gt;0),"STATION ON STANDBY","STATION ON SHUTDOWN"))</f>
        <v>STATION ON STANDBY</v>
      </c>
      <c r="J38" s="17"/>
    </row>
    <row r="39" spans="1:11" ht="35.15" customHeight="1">
      <c r="A39" s="25"/>
      <c r="B39" s="24"/>
      <c r="C39" s="68"/>
      <c r="D39" s="12"/>
      <c r="E39" s="9" t="s">
        <v>72</v>
      </c>
      <c r="F39" s="9"/>
      <c r="G39" s="64">
        <v>0</v>
      </c>
      <c r="H39" s="31" t="s">
        <v>73</v>
      </c>
      <c r="I39" s="17" t="str">
        <f>IF($G39&gt;0,"STATION ON STREAM",IF(AND($G39=0,$H39&gt;0),"STATION ON STANDBY","STATION ON SHUTDOWN"))</f>
        <v>STATION ON STANDBY</v>
      </c>
      <c r="J39" s="17"/>
    </row>
    <row r="40" spans="1:11" ht="35.15" customHeight="1">
      <c r="A40" s="25"/>
      <c r="B40" s="24"/>
      <c r="C40" s="84" t="s">
        <v>74</v>
      </c>
      <c r="D40" s="8"/>
      <c r="E40" s="9" t="s">
        <v>75</v>
      </c>
      <c r="F40" s="9"/>
      <c r="G40" s="64"/>
      <c r="H40" s="31" t="s">
        <v>97</v>
      </c>
      <c r="I40" s="17" t="str">
        <f>IF($G40&gt;0,"STATION ON STREAM",IF(AND($G40=0,$H40&gt;0),"STATION ON STANDBY","STATION ON SHUTDOWN"))</f>
        <v>STATION ON STANDBY</v>
      </c>
      <c r="J40" s="17"/>
      <c r="K40" s="43"/>
    </row>
    <row r="41" spans="1:11" ht="35.15" customHeight="1">
      <c r="A41" s="25"/>
      <c r="B41" s="24"/>
      <c r="C41" s="88"/>
      <c r="D41" s="8"/>
      <c r="E41" s="13" t="s">
        <v>13</v>
      </c>
      <c r="F41" s="14"/>
      <c r="G41" s="57">
        <f>SUM(G37:G40)</f>
        <v>0</v>
      </c>
      <c r="H41" s="27"/>
      <c r="I41" s="17"/>
      <c r="J41" s="17"/>
      <c r="K41" s="44"/>
    </row>
    <row r="42" spans="1:11" ht="35.15" customHeight="1">
      <c r="A42" s="32"/>
      <c r="B42" s="24"/>
      <c r="C42" s="69" t="s">
        <v>51</v>
      </c>
      <c r="D42" s="8"/>
      <c r="E42" s="9" t="s">
        <v>77</v>
      </c>
      <c r="F42" s="9"/>
      <c r="G42" s="52"/>
      <c r="H42" s="35">
        <v>44</v>
      </c>
      <c r="I42" s="17" t="str">
        <f t="shared" ref="I42:I43" si="4">IF($G42&gt;0,"STATION ON STREAM",IF(AND($G42=0,$H42&gt;0),"STATION ON STANDBY","STATION ON SHUTDOWN"))</f>
        <v>STATION ON STANDBY</v>
      </c>
      <c r="J42" s="42"/>
    </row>
    <row r="43" spans="1:11" ht="35.15" customHeight="1">
      <c r="A43" s="32"/>
      <c r="B43" s="24"/>
      <c r="C43" s="89"/>
      <c r="D43" s="8"/>
      <c r="E43" s="9" t="s">
        <v>78</v>
      </c>
      <c r="F43" s="9"/>
      <c r="G43" s="53">
        <v>0</v>
      </c>
      <c r="H43" s="35">
        <v>0</v>
      </c>
      <c r="I43" s="17" t="str">
        <f t="shared" si="4"/>
        <v>STATION ON SHUTDOWN</v>
      </c>
      <c r="J43" s="17"/>
    </row>
    <row r="44" spans="1:11" ht="35.15" customHeight="1">
      <c r="A44" s="36"/>
      <c r="B44" s="36"/>
      <c r="C44" s="89"/>
      <c r="D44" s="8"/>
      <c r="E44" s="9" t="s">
        <v>79</v>
      </c>
      <c r="F44" s="9"/>
      <c r="G44" s="53"/>
      <c r="H44" s="35">
        <v>15</v>
      </c>
      <c r="I44" s="17" t="str">
        <f>IF($G45&gt;0,"STATION ON STREAM",IF(AND($G45=0,$H44&gt;0),"STATION ON STANDBY","STATION ON SHUTDOWN"))</f>
        <v>STATION ON STANDBY</v>
      </c>
      <c r="J44" s="42"/>
    </row>
    <row r="45" spans="1:11" ht="26.25" customHeight="1">
      <c r="A45" s="36"/>
      <c r="B45" s="36"/>
      <c r="C45" s="90"/>
      <c r="D45" s="8"/>
      <c r="E45" s="9" t="s">
        <v>80</v>
      </c>
      <c r="F45" s="9"/>
      <c r="G45" s="51">
        <v>0</v>
      </c>
      <c r="H45" s="35">
        <v>35</v>
      </c>
      <c r="I45" s="17" t="str">
        <f>IF($G45&gt;0,"STATION ON STREAM",IF(AND($G45=0,$H45&gt;0),"STATION ON STANDBY","STATION ON SHUTDOWN"))</f>
        <v>STATION ON STANDBY</v>
      </c>
      <c r="J45" s="42"/>
    </row>
    <row r="46" spans="1:11" ht="21" customHeight="1">
      <c r="A46" s="82"/>
      <c r="B46" s="83"/>
      <c r="C46" s="30"/>
      <c r="D46" s="12"/>
      <c r="E46" s="13" t="s">
        <v>13</v>
      </c>
      <c r="F46" s="14" t="s">
        <v>62</v>
      </c>
      <c r="G46" s="57">
        <f>SUM(G42:G45)</f>
        <v>0</v>
      </c>
      <c r="H46" s="37"/>
      <c r="I46" s="14" t="s">
        <v>81</v>
      </c>
      <c r="J46" s="42"/>
    </row>
    <row r="47" spans="1:11" ht="25.5" customHeight="1">
      <c r="A47" s="38"/>
      <c r="B47" s="38"/>
      <c r="C47" s="30" t="s">
        <v>61</v>
      </c>
      <c r="D47" s="30"/>
      <c r="E47" s="13" t="s">
        <v>62</v>
      </c>
      <c r="F47" s="13" t="s">
        <v>62</v>
      </c>
      <c r="G47" s="57">
        <f>SUM(G33+G36+G41+G46)</f>
        <v>0</v>
      </c>
      <c r="H47" s="37"/>
      <c r="I47" s="13" t="s">
        <v>62</v>
      </c>
      <c r="J47" s="45"/>
    </row>
    <row r="48" spans="1:11" ht="18.5">
      <c r="A48" s="38"/>
      <c r="B48" s="38"/>
      <c r="C48" s="30" t="s">
        <v>82</v>
      </c>
      <c r="D48" s="30"/>
      <c r="E48" s="13" t="s">
        <v>62</v>
      </c>
      <c r="F48" s="13" t="s">
        <v>62</v>
      </c>
      <c r="G48" s="66">
        <f>SUM(G31+G47)</f>
        <v>670.81500000000005</v>
      </c>
      <c r="H48" s="39"/>
      <c r="I48" s="46"/>
      <c r="J48" s="47">
        <f>J14+J47+J7</f>
        <v>822.755</v>
      </c>
    </row>
    <row r="49" spans="1:10" ht="18.5">
      <c r="A49" s="38"/>
      <c r="B49" s="38"/>
      <c r="C49" s="34"/>
      <c r="D49" s="34"/>
      <c r="E49" s="34"/>
      <c r="F49" s="40"/>
      <c r="G49" s="40"/>
      <c r="H49" s="41"/>
      <c r="I49" s="40"/>
      <c r="J49" s="48"/>
    </row>
    <row r="50" spans="1:10" ht="18.5">
      <c r="C50" s="34"/>
      <c r="D50" s="34"/>
      <c r="E50" s="34"/>
      <c r="F50" s="34"/>
      <c r="G50" s="40"/>
      <c r="H50" s="41"/>
      <c r="I50" s="34"/>
      <c r="J50" s="34"/>
    </row>
  </sheetData>
  <sheetProtection formatCells="0" formatColumns="0" formatRows="0" insertColumns="0" insertRows="0"/>
  <mergeCells count="15">
    <mergeCell ref="A46:B46"/>
    <mergeCell ref="C24:C28"/>
    <mergeCell ref="C29:C30"/>
    <mergeCell ref="C32:C33"/>
    <mergeCell ref="C34:C38"/>
    <mergeCell ref="C40:C41"/>
    <mergeCell ref="C42:C45"/>
    <mergeCell ref="C15:C18"/>
    <mergeCell ref="A19:B23"/>
    <mergeCell ref="C19:C21"/>
    <mergeCell ref="A1:J2"/>
    <mergeCell ref="A3:J3"/>
    <mergeCell ref="A5:B5"/>
    <mergeCell ref="C6:C7"/>
    <mergeCell ref="C8:C14"/>
  </mergeCells>
  <printOptions horizontalCentered="1"/>
  <pageMargins left="0.196850393700787" right="0.196850393700787" top="0" bottom="0" header="0.118110236220472" footer="0.118110236220472"/>
  <pageSetup paperSize="9" scale="40" fitToHeight="0" orientation="portrait" verticalDpi="300" r:id="rId1"/>
  <headerFooter alignWithMargins="0">
    <oddHeader>&amp;C&amp;KFFA500&amp;10&amp;"Calibri"Confidential: Internal Use Only</oddHeader>
    <oddFooter>&amp;C&amp;KFFA500&amp;10&amp;"Calibri"Confidential: Internal Use Only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5"/>
  <dimension ref="A2:B3"/>
  <sheetViews>
    <sheetView workbookViewId="0"/>
  </sheetViews>
  <sheetFormatPr defaultRowHeight="14.5"/>
  <sheetData>
    <row r="2" spans="1:2">
      <c r="A2" t="s">
        <v>238</v>
      </c>
      <c r="B2" t="s">
        <v>239</v>
      </c>
    </row>
    <row r="3" spans="1:2">
      <c r="A3" t="s">
        <v>240</v>
      </c>
      <c r="B3" t="s">
        <v>241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9bfec4a-5ccc-4996-bf58-9401877a9892}" enabled="0" method="" siteId="{c9bfec4a-5ccc-4996-bf58-9401877a989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22</vt:i4>
      </vt:variant>
    </vt:vector>
  </HeadingPairs>
  <TitlesOfParts>
    <vt:vector size="44" baseType="lpstr">
      <vt:lpstr>DAY 01</vt:lpstr>
      <vt:lpstr>DAY 02</vt:lpstr>
      <vt:lpstr>DAY 03</vt:lpstr>
      <vt:lpstr>DAY 04</vt:lpstr>
      <vt:lpstr>DAY 05</vt:lpstr>
      <vt:lpstr>DAY 06</vt:lpstr>
      <vt:lpstr>DAY 07</vt:lpstr>
      <vt:lpstr>DAY 08</vt:lpstr>
      <vt:lpstr>DAY 09</vt:lpstr>
      <vt:lpstr>DAY 10</vt:lpstr>
      <vt:lpstr>DAY 11</vt:lpstr>
      <vt:lpstr>DAY 12</vt:lpstr>
      <vt:lpstr>DAY 13</vt:lpstr>
      <vt:lpstr>DAY 14</vt:lpstr>
      <vt:lpstr>DAY 15</vt:lpstr>
      <vt:lpstr>DAY 16</vt:lpstr>
      <vt:lpstr>DAY 17</vt:lpstr>
      <vt:lpstr>DAY 18</vt:lpstr>
      <vt:lpstr>DAY 19</vt:lpstr>
      <vt:lpstr>DAY 20</vt:lpstr>
      <vt:lpstr>DAY 21</vt:lpstr>
      <vt:lpstr>DAY 22</vt:lpstr>
      <vt:lpstr>'DAY 01'!Print_Titles</vt:lpstr>
      <vt:lpstr>'DAY 02'!Print_Titles</vt:lpstr>
      <vt:lpstr>'DAY 03'!Print_Titles</vt:lpstr>
      <vt:lpstr>'DAY 04'!Print_Titles</vt:lpstr>
      <vt:lpstr>'DAY 05'!Print_Titles</vt:lpstr>
      <vt:lpstr>'DAY 06'!Print_Titles</vt:lpstr>
      <vt:lpstr>'DAY 07'!Print_Titles</vt:lpstr>
      <vt:lpstr>'DAY 08'!Print_Titles</vt:lpstr>
      <vt:lpstr>'DAY 09'!Print_Titles</vt:lpstr>
      <vt:lpstr>'DAY 10'!Print_Titles</vt:lpstr>
      <vt:lpstr>'DAY 11'!Print_Titles</vt:lpstr>
      <vt:lpstr>'DAY 12'!Print_Titles</vt:lpstr>
      <vt:lpstr>'DAY 13'!Print_Titles</vt:lpstr>
      <vt:lpstr>'DAY 14'!Print_Titles</vt:lpstr>
      <vt:lpstr>'DAY 15'!Print_Titles</vt:lpstr>
      <vt:lpstr>'DAY 16'!Print_Titles</vt:lpstr>
      <vt:lpstr>'DAY 17'!Print_Titles</vt:lpstr>
      <vt:lpstr>'DAY 18'!Print_Titles</vt:lpstr>
      <vt:lpstr>'DAY 19'!Print_Titles</vt:lpstr>
      <vt:lpstr>'DAY 20'!Print_Titles</vt:lpstr>
      <vt:lpstr>'DAY 21'!Print_Titles</vt:lpstr>
      <vt:lpstr>'DAY 22'!Print_Titles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Ghazali I. Ahmad</cp:lastModifiedBy>
  <cp:revision/>
  <dcterms:created xsi:type="dcterms:W3CDTF">2021-03-09T07:46:00Z</dcterms:created>
  <dcterms:modified xsi:type="dcterms:W3CDTF">2026-07-20T14:42:15Z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9C073EE9222B444E991E8DF4190250E4_13</vt:lpwstr>
  </property>
  <property fmtid="{D5CDD505-2E9C-101B-9397-08002B2CF9AE}" pid="3" name="KSOProductBuildVer">
    <vt:lpwstr>1033-12.2.0.13193</vt:lpwstr>
  </property>
  <property fmtid="{D5CDD505-2E9C-101B-9397-08002B2CF9AE}" pid="4" name="GVData">
    <vt:lpwstr>ew0KICAidGFnc2V0X2UxNjQwOWE3XzE3MDBfNDE1M185MDkwXzM5NTViYzJmMGFlOF9jbGFzc2lmaWNhdGlvbiI6ICJDb25maWRlbnRpYWwiLA0KICAiZG9jSUQiOiAiYWQzZjQ2MDMtOTllZC00NDgwLWI1YWEtMGJhNTE0NTI1MTkxIiwNCiAgIk9TIjogIldpbmRv</vt:lpwstr>
  </property>
  <property fmtid="{D5CDD505-2E9C-101B-9397-08002B2CF9AE}" pid="5" name="GVData0">
    <vt:lpwstr>d3MiLA0KICAiT3B0aW9ucyI6ICJ7XHUwMDIyUGFnZUxheW91dENvbmZpZ3VyYXRpb25cdTAwMjI6e1x1MDAyMkFsd2F5c1Nob3dQb3B1cFx1MDAyMjpmYWxzZSxcdTAwMjJIYXNBbHdheXNTaG93UG9wdXBcdTAwMjI6dHJ1ZSxcdTAwMjJPcHRpb25zXHUwMDIyOjAs</vt:lpwstr>
  </property>
  <property fmtid="{D5CDD505-2E9C-101B-9397-08002B2CF9AE}" pid="6" name="3rdPartyHeader">
    <vt:lpwstr/>
  </property>
  <property fmtid="{D5CDD505-2E9C-101B-9397-08002B2CF9AE}" pid="7" name="Header">
    <vt:lpwstr>{"Left":"","Center":"Confidential: Internal Use Only","Right":""}</vt:lpwstr>
  </property>
  <property fmtid="{D5CDD505-2E9C-101B-9397-08002B2CF9AE}" pid="8" name="3rdPartyFooter">
    <vt:lpwstr/>
  </property>
  <property fmtid="{D5CDD505-2E9C-101B-9397-08002B2CF9AE}" pid="9" name="Footer">
    <vt:lpwstr>{"Left":"","Center":"Confidential: Internal Use Only","Right":""}</vt:lpwstr>
  </property>
  <property fmtid="{D5CDD505-2E9C-101B-9397-08002B2CF9AE}" pid="10" name="GVData1">
    <vt:lpwstr>XHUwMDIyVHJpZ2dlclBhZ2VzTnVtYmVyXHUwMDIyOjF9LFx1MDAyMkFwcGx5RnJvbVBhZ2VcdTAwMjI6MCxcdTAwMjJBcHBseVRvUGFnZVx1MDAyMjowLFx1MDAyMkhlYWRlckVuYWJsZWRcdTAwMjI6dHJ1ZSxcdTAwMjJIZWFkZXJcdTAwMjI6XHUwMDIyXHUwMDND</vt:lpwstr>
  </property>
  <property fmtid="{D5CDD505-2E9C-101B-9397-08002B2CF9AE}" pid="11" name="ClassificationTagSetId">
    <vt:lpwstr>e16409a7-1700-4153-9090-3955bc2f0ae8</vt:lpwstr>
  </property>
  <property fmtid="{D5CDD505-2E9C-101B-9397-08002B2CF9AE}" pid="12" name="Classification">
    <vt:lpwstr>Confidential: Internal Use Only</vt:lpwstr>
  </property>
  <property fmtid="{D5CDD505-2E9C-101B-9397-08002B2CF9AE}" pid="13" name="ComplianceTagSetId">
    <vt:lpwstr>f14fc1f1-8950-40d5-8a29-45909da947d6</vt:lpwstr>
  </property>
  <property fmtid="{D5CDD505-2E9C-101B-9397-08002B2CF9AE}" pid="14" name="FileId">
    <vt:lpwstr>ad3f4603-99ed-4480-b5aa-0ba514525191</vt:lpwstr>
  </property>
  <property fmtid="{D5CDD505-2E9C-101B-9397-08002B2CF9AE}" pid="15" name="UserId">
    <vt:lpwstr>LOCAL SERVICE</vt:lpwstr>
  </property>
  <property fmtid="{D5CDD505-2E9C-101B-9397-08002B2CF9AE}" pid="16" name="TagDateTime">
    <vt:lpwstr>2024-06-12T10:31:55Z</vt:lpwstr>
  </property>
  <property fmtid="{D5CDD505-2E9C-101B-9397-08002B2CF9AE}" pid="17" name="GVData2">
    <vt:lpwstr>c3BhbiBzdHlsZT1cXFx1MDAyMmNvbG9yOiNmZmE1MDA7XFxcdTAwMjJcdTAwM0VcdTAwM0NzcGFuXHUwMDNFQ29uZmlkZW50aWFsOiBJbnRlcm5hbCBVc2UgT25seVx1MDAzQy9zcGFuXHUwMDNFXHUwMDNDL3NwYW5cdTAwM0VcdTAwMjIsXHUwMDIySGVhZGVyc1x1</vt:lpwstr>
  </property>
  <property fmtid="{D5CDD505-2E9C-101B-9397-08002B2CF9AE}" pid="18" name="GVData3">
    <vt:lpwstr>MDAyMjpbXHUwMDIyXHUwMDNDc3BhbiBzdHlsZT1cXFx1MDAyMmNvbG9yOiNmZmE1MDA7XFxcdTAwMjJcdTAwM0VcdTAwM0NzcGFuXHUwMDNFQ29uZmlkZW50aWFsOiBJbnRlcm5hbCBVc2UgT25seVx1MDAzQy9zcGFuXHUwMDNFXHUwMDNDL3NwYW5cdTAwM0VcdTAw</vt:lpwstr>
  </property>
  <property fmtid="{D5CDD505-2E9C-101B-9397-08002B2CF9AE}" pid="19" name="GVData4">
    <vt:lpwstr>MjJdLFx1MDAyMkhlYWRlclR5cGVcdTAwMjI6MCxcdTAwMjJIZWFkZXJUeXBlc0FsbG93ZWRcdTAwMjI6WzAsMV0sXHUwMDIySGVhZGVyVXBkYXRlVHlwZVx1MDAyMjoxLFx1MDAyMkZvb3RlckVuYWJsZWRcdTAwMjI6dHJ1ZSxcdTAwMjJGb290ZXJcdTAwMjI6XHUw</vt:lpwstr>
  </property>
  <property fmtid="{D5CDD505-2E9C-101B-9397-08002B2CF9AE}" pid="20" name="GVData5">
    <vt:lpwstr>MDIyXHUwMDNDc3BhbiBzdHlsZT1cXFx1MDAyMmNvbG9yOiNmZmE1MDA7XFxcdTAwMjJcdTAwM0VcdTAwM0NzcGFuXHUwMDNFQ29uZmlkZW50aWFsOiBJbnRlcm5hbCBVc2UgT25seVx1MDAzQy9zcGFuXHUwMDNFXHUwMDNDL3NwYW5cdTAwM0VcdTAwMjIsXHUwMDIy</vt:lpwstr>
  </property>
  <property fmtid="{D5CDD505-2E9C-101B-9397-08002B2CF9AE}" pid="21" name="GVData6">
    <vt:lpwstr>Rm9vdGVyc1x1MDAyMjpbXHUwMDIyXHUwMDNDc3BhbiBzdHlsZT1cXFx1MDAyMmNvbG9yOiNmZmE1MDA7XFxcdTAwMjJcdTAwM0VcdTAwM0NzcGFuXHUwMDNFQ29uZmlkZW50aWFsOiBJbnRlcm5hbCBVc2UgT25seVx1MDAzQy9zcGFuXHUwMDNFXHUwMDNDL3NwYW5c</vt:lpwstr>
  </property>
  <property fmtid="{D5CDD505-2E9C-101B-9397-08002B2CF9AE}" pid="22" name="GVData7">
    <vt:lpwstr>dTAwM0VcdTAwMjJdLFx1MDAyMkZvb3RlclR5cGVcdTAwMjI6MCxcdTAwMjJGb290ZXJUeXBlc0FsbG93ZWRcdTAwMjI6WzAsMV0sXHUwMDIyRm9vdGVyVXBkYXRlVHlwZVx1MDAyMjoxLFx1MDAyMldhdGVybWFya1x1MDAyMjpudWxsLFx1MDAyMldhdGVybWFya0Vu</vt:lpwstr>
  </property>
  <property fmtid="{D5CDD505-2E9C-101B-9397-08002B2CF9AE}" pid="23" name="GVData8">
    <vt:lpwstr>YWJsZWRcdTAwMjI6ZmFsc2UsXHUwMDIyU2hvdWxkV3JpdGVXYXRlcm1hcmtcdTAwMjI6ZmFsc2UsXHUwMDIyV2F0ZXJtYXJrVXBkYXRlVHlwZVx1MDAyMjowLFx1MDAyMlBvd2VycG9pbnRUaXRsZVx1MDAyMjpudWxsLFx1MDAyMlBvd2VycG9pbnRTdWJpdGxlXHUw</vt:lpwstr>
  </property>
  <property fmtid="{D5CDD505-2E9C-101B-9397-08002B2CF9AE}" pid="24" name="GVData9">
    <vt:lpwstr>MDIyOm51bGx9IiwNCiAgIlN0YXRlIjogIntcdTAwMjJGaXJzdFBhZ2VEaWZmZXJlbnRcdTAwMjI6ZmFsc2UsXHUwMDIyRGlmZmVyZW50T2RkQW5kRXZlblBhZ2VzXHUwMDIyOmZhbHNlLFx1MDAyMlBhZ2VDb3VudFx1MDAyMjoxMixcdTAwMjJIZWFkZXJNZXRhZGF0</vt:lpwstr>
  </property>
  <property fmtid="{D5CDD505-2E9C-101B-9397-08002B2CF9AE}" pid="25" name="GVData10">
    <vt:lpwstr>YVx1MDAyMjpcdTAwMjJ7XFxcdTAwMjJMZWZ0XFxcdTAwMjI6XFxcdTAwMjJcXFx1MDAyMixcXFx1MDAyMkNlbnRlclxcXHUwMDIyOlxcXHUwMDIyQ29uZmlkZW50aWFsOiBJbnRlcm5hbCBVc2UgT25seVxcXHUwMDIyLFxcXHUwMDIyUmlnaHRcXFx1MDAyMjpcXFx1</vt:lpwstr>
  </property>
  <property fmtid="{D5CDD505-2E9C-101B-9397-08002B2CF9AE}" pid="26" name="GVData11">
    <vt:lpwstr>MDAyMlxcXHUwMDIyfVx1MDAyMixcdTAwMjJUaGlyZFBhcnR5SGVhZGVyTWV0YWRhdGFcdTAwMjI6XHUwMDIyXHUwMDIyLFx1MDAyMkdWSGVhZGVyRXhpc3RzXHUwMDIyOnRydWUsXHUwMDIyTm9uR1ZIZWFkZXJFeGlzdHNcdTAwMjI6ZmFsc2UsXHUwMDIyQ29ybmVy</vt:lpwstr>
  </property>
  <property fmtid="{D5CDD505-2E9C-101B-9397-08002B2CF9AE}" pid="27" name="GVData12">
    <vt:lpwstr>SGVhZGVyRXhpc3RzXHUwMDIyOmZhbHNlLFx1MDAyMk5vbkdWSGVhZGVyU2hhcGVFeGlzdHNcdTAwMjI6ZmFsc2UsXHUwMDIyVGhpcmRQYXJ0eUhlYWRlcnNcdTAwMjI6W10sXHUwMDIyRm9vdGVyTWV0YWRhdGFcdTAwMjI6XHUwMDIye1xcXHUwMDIyTGVmdFxcXHUw</vt:lpwstr>
  </property>
  <property fmtid="{D5CDD505-2E9C-101B-9397-08002B2CF9AE}" pid="28" name="GVData13">
    <vt:lpwstr>MDIyOlxcXHUwMDIyXFxcdTAwMjIsXFxcdTAwMjJDZW50ZXJcXFx1MDAyMjpcXFx1MDAyMkNvbmZpZGVudGlhbDogSW50ZXJuYWwgVXNlIE9ubHlcXFx1MDAyMixcXFx1MDAyMlJpZ2h0XFxcdTAwMjI6XFxcdTAwMjJcXFx1MDAyMn1cdTAwMjIsXHUwMDIyVGhpcmRQ</vt:lpwstr>
  </property>
  <property fmtid="{D5CDD505-2E9C-101B-9397-08002B2CF9AE}" pid="29" name="GVData14">
    <vt:lpwstr>YXJ0eUZvb3Rlck1ldGFkYXRhXHUwMDIyOlx1MDAyMlx1MDAyMixcdTAwMjJHVkZvb3RlckV4aXN0c1x1MDAyMjp0cnVlLFx1MDAyMk5vbkdWRm9vdGVyRXhpc3RzXHUwMDIyOmZhbHNlLFx1MDAyMkNvcm5lckZvb3RlckV4aXN0c1x1MDAyMjpmYWxzZSxcdTAwMjJO</vt:lpwstr>
  </property>
  <property fmtid="{D5CDD505-2E9C-101B-9397-08002B2CF9AE}" pid="30" name="GVData15">
    <vt:lpwstr>b25HVkZvb3RlclNoYXBlRXhpc3RzXHUwMDIyOmZhbHNlLFx1MDAyMlRoaXJkUGFydHlGb290ZXJzXHUwMDIyOltdLFx1MDAyMldhdGVybWFya01ldGFkYXRhXHUwMDIyOlx1MDAyMlx1MDAyMixcdTAwMjJXYXRlcm1hcmtFeGlzdHNcdTAwMjI6ZmFsc2UsXHUwMDIy</vt:lpwstr>
  </property>
  <property fmtid="{D5CDD505-2E9C-101B-9397-08002B2CF9AE}" pid="31" name="GVData16">
    <vt:lpwstr>UG93ZXJwb2ludFRpdGxlTWV0YWRhdGFcdTAwMjI6bnVsbCxcdTAwMjJQb3dlcnBvaW50U3VidGl0bGVNZXRhZGF0YVx1MDAyMjpudWxsLFx1MDAyMlRoaXJkUGFydHlNZXRhZGF0YUZvdW5kXHUwMDIyOmZhbHNlfSINCn0=</vt:lpwstr>
  </property>
  <property fmtid="{D5CDD505-2E9C-101B-9397-08002B2CF9AE}" pid="32" name="GVData17">
    <vt:lpwstr>(end)</vt:lpwstr>
  </property>
</Properties>
</file>