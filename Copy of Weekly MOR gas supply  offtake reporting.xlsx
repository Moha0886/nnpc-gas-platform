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always" defaultThemeVersion="166925"/>
  <mc:AlternateContent xmlns:mc="http://schemas.openxmlformats.org/markup-compatibility/2006">
    <mc:Choice Requires="x15">
      <x15ac:absPath xmlns:x15ac="http://schemas.microsoft.com/office/spreadsheetml/2010/11/ac" url="https://nnpcgroup-my.sharepoint.com/personal/ghazali_ahmad_nnpcgroup_com/Documents/Documents/Midstream Dummy Data/"/>
    </mc:Choice>
  </mc:AlternateContent>
  <xr:revisionPtr revIDLastSave="0" documentId="8_{2E6AF471-63C7-4B62-8A3A-859C45751F5F}" xr6:coauthVersionLast="47" xr6:coauthVersionMax="47" xr10:uidLastSave="{00000000-0000-0000-0000-000000000000}"/>
  <bookViews>
    <workbookView xWindow="-110" yWindow="-110" windowWidth="19420" windowHeight="11500" xr2:uid="{45C0AC40-EB65-4CAD-A55C-DCC2AF7C809E}"/>
  </bookViews>
  <sheets>
    <sheet name="Western Network" sheetId="4" r:id="rId1"/>
    <sheet name="GVMetadata" sheetId="5" state="veryHidden" r:id="rId2"/>
  </sheets>
  <externalReferences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4" l="1"/>
  <c r="C12" i="4"/>
  <c r="G7" i="4" l="1"/>
  <c r="G8" i="4"/>
  <c r="G22" i="4"/>
  <c r="G30" i="4"/>
  <c r="G25" i="4"/>
  <c r="G15" i="4"/>
  <c r="G11" i="4"/>
  <c r="G5" i="4"/>
  <c r="G29" i="4"/>
  <c r="G26" i="4"/>
  <c r="G27" i="4"/>
  <c r="G16" i="4"/>
  <c r="G18" i="4"/>
  <c r="G21" i="4"/>
  <c r="G9" i="4"/>
  <c r="G31" i="4"/>
  <c r="G13" i="4"/>
  <c r="G14" i="4"/>
  <c r="G28" i="4"/>
  <c r="G19" i="4"/>
  <c r="G6" i="4"/>
  <c r="G17" i="4" l="1"/>
  <c r="G33" i="4" s="1"/>
  <c r="C6" i="4" l="1"/>
  <c r="C7" i="4"/>
  <c r="C16" i="4"/>
  <c r="C10" i="4"/>
  <c r="C9" i="4"/>
  <c r="C13" i="4"/>
  <c r="C14" i="4"/>
  <c r="C8" i="4"/>
  <c r="C15" i="4"/>
  <c r="C11" i="4"/>
  <c r="C17" i="4"/>
  <c r="C5" i="4" l="1"/>
  <c r="C18" i="4" s="1"/>
  <c r="H7" i="4" l="1"/>
  <c r="H19" i="4"/>
  <c r="H21" i="4"/>
  <c r="H16" i="4"/>
  <c r="H15" i="4"/>
  <c r="H25" i="4"/>
  <c r="H26" i="4"/>
  <c r="H29" i="4"/>
  <c r="H28" i="4"/>
  <c r="H27" i="4"/>
  <c r="H18" i="4"/>
  <c r="H6" i="4"/>
  <c r="H11" i="4"/>
  <c r="H8" i="4"/>
  <c r="H22" i="4"/>
  <c r="H5" i="4"/>
  <c r="H13" i="4"/>
  <c r="H9" i="4" l="1"/>
  <c r="H31" i="4"/>
  <c r="H17" i="4"/>
  <c r="H33" i="4" s="1"/>
  <c r="G35" i="4" s="1"/>
</calcChain>
</file>

<file path=xl/sharedStrings.xml><?xml version="1.0" encoding="utf-8"?>
<sst xmlns="http://schemas.openxmlformats.org/spreadsheetml/2006/main" count="49" uniqueCount="46">
  <si>
    <t>GAS SUPPLY SITUATION</t>
  </si>
  <si>
    <t>ALLOCATION &amp; OFFTAKE SITUATION</t>
  </si>
  <si>
    <t>REMARKS</t>
  </si>
  <si>
    <t>S/N</t>
  </si>
  <si>
    <t>GAS PRODUCERS</t>
  </si>
  <si>
    <t xml:space="preserve"> VOLUME (MMscf)</t>
  </si>
  <si>
    <t>Offtakers</t>
  </si>
  <si>
    <t xml:space="preserve">Source of Allocation </t>
  </si>
  <si>
    <t>Allocation (MMscf)</t>
  </si>
  <si>
    <t>Actual Offtake (MMscf)</t>
  </si>
  <si>
    <t>CNL- Escravos</t>
  </si>
  <si>
    <t>CNL, NPDC JV</t>
  </si>
  <si>
    <t>NEPL/NDW Utorogu</t>
  </si>
  <si>
    <t>CNL, NPDC JV, NPDC Oredo, POOC, Seplat, AHL, Platform, Gashub, Xenergi</t>
  </si>
  <si>
    <t>NEPL Oredo FST3 (OGPOOC)</t>
  </si>
  <si>
    <t>CNL, NPDC JV, NPDC Neconde</t>
  </si>
  <si>
    <t>NEPL Oredo (IGHF)</t>
  </si>
  <si>
    <t>CNL, NPDC Oredo, Tunu, Utorogu</t>
  </si>
  <si>
    <t>Pan Ocean</t>
  </si>
  <si>
    <t>CNL, PPL, POOC</t>
  </si>
  <si>
    <t>Seplat Oben</t>
  </si>
  <si>
    <t>SPDC - Tunu/FYIP/Otumara</t>
  </si>
  <si>
    <t>NPDC JV, SPDC Otumara &amp; SPDC Forcados Yokri</t>
  </si>
  <si>
    <t>NEPL/Neconde Odidi</t>
  </si>
  <si>
    <t>AHL</t>
  </si>
  <si>
    <t>NPDC JV, CNL, Seplat</t>
  </si>
  <si>
    <t>Platform</t>
  </si>
  <si>
    <t xml:space="preserve">Ughelli East </t>
  </si>
  <si>
    <t>Xenergi</t>
  </si>
  <si>
    <t>NPDC JV, MSN/Raffles/Oceandiare</t>
  </si>
  <si>
    <t>NEPL Ughelli</t>
  </si>
  <si>
    <t>CHORUS</t>
  </si>
  <si>
    <t>NPDC JV</t>
  </si>
  <si>
    <t>TOTAL</t>
  </si>
  <si>
    <t>Seplat</t>
  </si>
  <si>
    <t>Seplat &amp; POOC</t>
  </si>
  <si>
    <t>POOC</t>
  </si>
  <si>
    <t>CNL, SPDC (Tunu), Seplat, NPDC, Pan Ocean</t>
  </si>
  <si>
    <t xml:space="preserve">Total </t>
  </si>
  <si>
    <t>Material Balance / Line Pack</t>
  </si>
  <si>
    <t>GVData</t>
  </si>
  <si>
    <t>ew0KICAiZG9jSUQiOiAiMWRkZGIzZDktY2M4Ny00OGQ1LTg2ZjYtZTcwNWIzYjM5NzAwIg0KfQ==</t>
  </si>
  <si>
    <t>GVData0</t>
  </si>
  <si>
    <t>(end)</t>
  </si>
  <si>
    <t>Gashub</t>
  </si>
  <si>
    <r>
      <rPr>
        <b/>
        <sz val="14"/>
        <color rgb="FF000000"/>
        <rFont val="Montserrat"/>
      </rPr>
      <t>WEEKLY GAS SUPPLY, ALLOCATIONS &amp; OFFTAKE OVERVIEW (</t>
    </r>
    <r>
      <rPr>
        <b/>
        <sz val="14"/>
        <color rgb="FFFF0000"/>
        <rFont val="Montserrat"/>
      </rPr>
      <t>WEEK OF DD/MM/YYYY)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</si>
</sst>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Montserrat"/>
    </font>
    <font>
      <b/>
      <sz val="12"/>
      <color theme="1"/>
      <name val="Montserrat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14"/>
      <color theme="1"/>
      <name val="Montserrat"/>
    </font>
    <font>
      <b/>
      <sz val="14"/>
      <color rgb="FFFF0000"/>
      <name val="Montserrat"/>
    </font>
    <font>
      <b/>
      <sz val="14"/>
      <color rgb="FF000000"/>
      <name val="Montserrat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/>
      <top/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4" fillId="0" borderId="0">
      <protection locked="0"/>
    </xf>
    <xf numFmtId="164" fontId="4" fillId="0" borderId="0">
      <protection locked="0"/>
    </xf>
  </cellStyleXfs>
  <cellXfs count="66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vertical="center"/>
    </xf>
    <xf numFmtId="0" fontId="2" fillId="0" borderId="6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7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top" wrapText="1"/>
    </xf>
    <xf numFmtId="164" fontId="2" fillId="0" borderId="0" xfId="1" applyFont="1" applyBorder="1" applyAlignment="1">
      <alignment horizontal="center" vertical="top"/>
    </xf>
    <xf numFmtId="164" fontId="3" fillId="0" borderId="10" xfId="1" applyFont="1" applyBorder="1" applyAlignment="1">
      <alignment horizontal="center" vertical="top"/>
    </xf>
    <xf numFmtId="0" fontId="5" fillId="0" borderId="0" xfId="0" applyFont="1"/>
    <xf numFmtId="0" fontId="3" fillId="2" borderId="20" xfId="0" applyFont="1" applyFill="1" applyBorder="1" applyAlignment="1">
      <alignment vertical="center"/>
    </xf>
    <xf numFmtId="164" fontId="3" fillId="0" borderId="18" xfId="1" applyFont="1" applyBorder="1" applyAlignment="1">
      <alignment horizont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wrapText="1"/>
    </xf>
    <xf numFmtId="0" fontId="2" fillId="0" borderId="10" xfId="0" applyFont="1" applyBorder="1" applyAlignment="1">
      <alignment wrapText="1"/>
    </xf>
    <xf numFmtId="2" fontId="2" fillId="0" borderId="12" xfId="0" applyNumberFormat="1" applyFont="1" applyBorder="1" applyAlignment="1">
      <alignment horizontal="center" vertical="center" wrapText="1"/>
    </xf>
    <xf numFmtId="2" fontId="2" fillId="0" borderId="12" xfId="0" applyNumberFormat="1" applyFont="1" applyBorder="1" applyAlignment="1">
      <alignment horizontal="center" wrapText="1"/>
    </xf>
    <xf numFmtId="2" fontId="2" fillId="0" borderId="10" xfId="0" applyNumberFormat="1" applyFont="1" applyBorder="1" applyAlignment="1">
      <alignment horizontal="center" wrapText="1"/>
    </xf>
    <xf numFmtId="164" fontId="2" fillId="0" borderId="6" xfId="1" applyFont="1" applyBorder="1" applyAlignment="1">
      <alignment horizontal="center" vertical="center"/>
    </xf>
    <xf numFmtId="164" fontId="2" fillId="0" borderId="2" xfId="1" applyFont="1" applyBorder="1" applyAlignment="1">
      <alignment horizontal="center" vertical="center"/>
    </xf>
    <xf numFmtId="0" fontId="4" fillId="0" borderId="26" xfId="2" applyBorder="1" applyAlignment="1" applyProtection="1">
      <alignment horizontal="center" vertical="center"/>
    </xf>
    <xf numFmtId="0" fontId="4" fillId="0" borderId="29" xfId="2" applyBorder="1" applyProtection="1"/>
    <xf numFmtId="0" fontId="4" fillId="0" borderId="29" xfId="2" applyBorder="1" applyAlignment="1" applyProtection="1">
      <alignment wrapText="1"/>
    </xf>
    <xf numFmtId="0" fontId="4" fillId="0" borderId="29" xfId="2" applyBorder="1" applyAlignment="1" applyProtection="1">
      <alignment vertical="center" wrapText="1"/>
    </xf>
    <xf numFmtId="2" fontId="2" fillId="0" borderId="12" xfId="0" applyNumberFormat="1" applyFont="1" applyBorder="1" applyAlignment="1">
      <alignment horizontal="center" vertical="center"/>
    </xf>
    <xf numFmtId="2" fontId="2" fillId="0" borderId="33" xfId="0" applyNumberFormat="1" applyFont="1" applyBorder="1" applyAlignment="1">
      <alignment horizontal="center" vertical="center" wrapText="1"/>
    </xf>
    <xf numFmtId="2" fontId="2" fillId="0" borderId="11" xfId="0" applyNumberFormat="1" applyFont="1" applyBorder="1" applyAlignment="1">
      <alignment horizontal="center" vertical="center" wrapText="1"/>
    </xf>
    <xf numFmtId="164" fontId="2" fillId="0" borderId="0" xfId="0" applyNumberFormat="1" applyFont="1" applyAlignment="1">
      <alignment wrapText="1"/>
    </xf>
    <xf numFmtId="2" fontId="2" fillId="0" borderId="11" xfId="0" applyNumberFormat="1" applyFont="1" applyBorder="1" applyAlignment="1">
      <alignment vertical="center" wrapText="1"/>
    </xf>
    <xf numFmtId="0" fontId="3" fillId="0" borderId="19" xfId="0" applyFont="1" applyBorder="1" applyAlignment="1">
      <alignment horizontal="center" wrapText="1"/>
    </xf>
    <xf numFmtId="0" fontId="3" fillId="0" borderId="22" xfId="0" applyFont="1" applyBorder="1" applyAlignment="1">
      <alignment horizont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164" fontId="3" fillId="0" borderId="24" xfId="0" applyNumberFormat="1" applyFont="1" applyBorder="1" applyAlignment="1">
      <alignment horizontal="center" wrapText="1"/>
    </xf>
    <xf numFmtId="0" fontId="3" fillId="0" borderId="15" xfId="0" applyFont="1" applyBorder="1" applyAlignment="1">
      <alignment horizont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top"/>
    </xf>
    <xf numFmtId="0" fontId="3" fillId="0" borderId="9" xfId="0" applyFont="1" applyBorder="1" applyAlignment="1">
      <alignment horizontal="center" vertical="top"/>
    </xf>
    <xf numFmtId="0" fontId="4" fillId="0" borderId="27" xfId="2" applyBorder="1" applyAlignment="1" applyProtection="1">
      <alignment horizontal="center" vertical="center"/>
    </xf>
    <xf numFmtId="0" fontId="4" fillId="0" borderId="28" xfId="2" applyBorder="1" applyAlignment="1" applyProtection="1">
      <alignment horizontal="center" vertical="center"/>
    </xf>
    <xf numFmtId="0" fontId="4" fillId="0" borderId="30" xfId="2" applyBorder="1" applyAlignment="1" applyProtection="1">
      <alignment horizontal="left" vertical="center" wrapText="1"/>
    </xf>
    <xf numFmtId="0" fontId="4" fillId="0" borderId="31" xfId="2" applyBorder="1" applyAlignment="1" applyProtection="1">
      <alignment horizontal="left" vertical="center" wrapText="1"/>
    </xf>
    <xf numFmtId="0" fontId="4" fillId="0" borderId="32" xfId="2" applyBorder="1" applyAlignment="1" applyProtection="1">
      <alignment horizontal="left" vertical="center" wrapText="1"/>
    </xf>
    <xf numFmtId="2" fontId="2" fillId="0" borderId="33" xfId="0" applyNumberFormat="1" applyFont="1" applyBorder="1" applyAlignment="1">
      <alignment horizontal="center" vertical="center" wrapText="1"/>
    </xf>
    <xf numFmtId="2" fontId="2" fillId="0" borderId="11" xfId="0" applyNumberFormat="1" applyFont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</cellXfs>
  <cellStyles count="4">
    <cellStyle name="Comma" xfId="1" builtinId="3"/>
    <cellStyle name="Comma 2 2 2" xfId="3" xr:uid="{ABB3B284-050C-47F8-A14F-962115783E19}"/>
    <cellStyle name="Normal" xfId="0" builtinId="0"/>
    <cellStyle name="Normal 2 2 2" xfId="2" xr:uid="{405500A6-BAE1-4378-ADA1-31A92647DA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chima_okorie_nnpcgroup_com/Documents/Attachments/Working%20Spreadsheet%20for%20Weekly%20Report.xlsx" TargetMode="External"/><Relationship Id="rId2" Type="http://schemas.openxmlformats.org/officeDocument/2006/relationships/externalLinkPath" Target="https://nnpcgroup-my.sharepoint.com/personal/chima_okorie_nnpcgroup_com/Documents/GAS%20REPORTS/MOR%20REPORTS/Working%20Spreadsheet%20for%20Weekly%20Report.xlsx" TargetMode="External"/><Relationship Id="rId1" Type="http://schemas.openxmlformats.org/officeDocument/2006/relationships/externalLinkPath" Target="/personal/chima_okorie_nnpcgroup_com/Documents/Attachments/Working%20Spreadsheet%20for%20Weekly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olume"/>
      <sheetName val="Allocation"/>
      <sheetName val="Pressure"/>
      <sheetName val="Actual Offtake"/>
      <sheetName val="GVMetadata"/>
    </sheetNames>
    <sheetDataSet>
      <sheetData sheetId="0">
        <row r="4">
          <cell r="L4">
            <v>352.95528571428571</v>
          </cell>
          <cell r="U4">
            <v>2310.625</v>
          </cell>
        </row>
        <row r="5">
          <cell r="U5">
            <v>1286.1199999999999</v>
          </cell>
        </row>
        <row r="6">
          <cell r="U6">
            <v>113.02799999999998</v>
          </cell>
        </row>
        <row r="7">
          <cell r="U7">
            <v>301.04000000000002</v>
          </cell>
        </row>
        <row r="8">
          <cell r="U8">
            <v>2104.1080000000002</v>
          </cell>
        </row>
        <row r="9">
          <cell r="U9">
            <v>677.26</v>
          </cell>
        </row>
        <row r="10">
          <cell r="U10">
            <v>1905.1200000000001</v>
          </cell>
        </row>
        <row r="11">
          <cell r="U11">
            <v>125.286</v>
          </cell>
        </row>
        <row r="12">
          <cell r="U12">
            <v>246.10999999999996</v>
          </cell>
        </row>
        <row r="13">
          <cell r="U13">
            <v>121.57000000000002</v>
          </cell>
        </row>
        <row r="14">
          <cell r="U14">
            <v>540</v>
          </cell>
        </row>
        <row r="15">
          <cell r="U15">
            <v>117.69699999999999</v>
          </cell>
        </row>
      </sheetData>
      <sheetData sheetId="1">
        <row r="3">
          <cell r="J3">
            <v>3694</v>
          </cell>
        </row>
        <row r="6">
          <cell r="J6">
            <v>1014.5</v>
          </cell>
        </row>
        <row r="7">
          <cell r="J7">
            <v>1018</v>
          </cell>
        </row>
        <row r="8">
          <cell r="J8">
            <v>143.5</v>
          </cell>
        </row>
        <row r="9">
          <cell r="J9">
            <v>28</v>
          </cell>
        </row>
        <row r="10">
          <cell r="J10">
            <v>0</v>
          </cell>
        </row>
        <row r="11">
          <cell r="J11">
            <v>189</v>
          </cell>
        </row>
        <row r="12">
          <cell r="J12">
            <v>320</v>
          </cell>
        </row>
        <row r="13">
          <cell r="J13">
            <v>852</v>
          </cell>
        </row>
        <row r="16">
          <cell r="J16">
            <v>0</v>
          </cell>
        </row>
        <row r="17">
          <cell r="J17">
            <v>0</v>
          </cell>
        </row>
        <row r="18">
          <cell r="J18">
            <v>175</v>
          </cell>
        </row>
        <row r="19">
          <cell r="J19">
            <v>189</v>
          </cell>
        </row>
        <row r="20">
          <cell r="J20">
            <v>675.08070166334221</v>
          </cell>
        </row>
        <row r="21">
          <cell r="J21">
            <v>22</v>
          </cell>
        </row>
        <row r="22">
          <cell r="J22">
            <v>32</v>
          </cell>
        </row>
        <row r="23">
          <cell r="J23">
            <v>126</v>
          </cell>
        </row>
        <row r="26">
          <cell r="J26">
            <v>70</v>
          </cell>
        </row>
        <row r="27">
          <cell r="J27">
            <v>315</v>
          </cell>
        </row>
        <row r="28">
          <cell r="J28">
            <v>7</v>
          </cell>
        </row>
        <row r="29">
          <cell r="J29">
            <v>2.1</v>
          </cell>
        </row>
        <row r="33">
          <cell r="J33">
            <v>385</v>
          </cell>
        </row>
        <row r="34">
          <cell r="J34">
            <v>351</v>
          </cell>
        </row>
      </sheetData>
      <sheetData sheetId="2">
        <row r="3">
          <cell r="J3">
            <v>81.834285714285713</v>
          </cell>
        </row>
      </sheetData>
      <sheetData sheetId="3">
        <row r="3">
          <cell r="K3">
            <v>107.18900000000001</v>
          </cell>
        </row>
        <row r="4">
          <cell r="K4">
            <v>1022.6409999999998</v>
          </cell>
        </row>
        <row r="5">
          <cell r="K5">
            <v>490.49299999999999</v>
          </cell>
        </row>
        <row r="6">
          <cell r="K6">
            <v>24.938000000000002</v>
          </cell>
        </row>
        <row r="7">
          <cell r="K7">
            <v>184.74600000000001</v>
          </cell>
        </row>
        <row r="8">
          <cell r="K8">
            <v>230.18</v>
          </cell>
        </row>
        <row r="9">
          <cell r="K9">
            <v>0</v>
          </cell>
        </row>
        <row r="10">
          <cell r="K10">
            <v>0</v>
          </cell>
        </row>
        <row r="11">
          <cell r="K11">
            <v>0</v>
          </cell>
        </row>
        <row r="12">
          <cell r="K12">
            <v>341.49900000000002</v>
          </cell>
        </row>
        <row r="13">
          <cell r="K13">
            <v>122.176</v>
          </cell>
        </row>
        <row r="14">
          <cell r="K14">
            <v>655.28400000000011</v>
          </cell>
        </row>
        <row r="15">
          <cell r="K15">
            <v>2760.1139999999996</v>
          </cell>
        </row>
        <row r="16">
          <cell r="K16">
            <v>307.76200000000006</v>
          </cell>
        </row>
        <row r="17">
          <cell r="K17">
            <v>6.9950000000000001</v>
          </cell>
        </row>
        <row r="18">
          <cell r="K18">
            <v>1093.6859999999999</v>
          </cell>
        </row>
        <row r="19">
          <cell r="K19">
            <v>3.2039999999999997</v>
          </cell>
        </row>
        <row r="20">
          <cell r="K20">
            <v>112</v>
          </cell>
        </row>
        <row r="21">
          <cell r="K21">
            <v>83.808000000000007</v>
          </cell>
        </row>
        <row r="22">
          <cell r="K22">
            <v>720.83500000000004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0F9A5-2810-4C26-A83A-431062BA6058}">
  <sheetPr>
    <pageSetUpPr fitToPage="1"/>
  </sheetPr>
  <dimension ref="A1:L38"/>
  <sheetViews>
    <sheetView tabSelected="1" zoomScale="63" zoomScaleNormal="63" workbookViewId="0">
      <selection activeCell="J10" sqref="J10"/>
    </sheetView>
  </sheetViews>
  <sheetFormatPr defaultRowHeight="18.5" x14ac:dyDescent="0.5"/>
  <cols>
    <col min="1" max="1" width="8.7265625" style="1"/>
    <col min="2" max="2" width="35.54296875" style="7" customWidth="1"/>
    <col min="3" max="3" width="19" style="1" customWidth="1"/>
    <col min="4" max="4" width="0.81640625" style="1" customWidth="1"/>
    <col min="5" max="5" width="31.26953125" style="10" customWidth="1"/>
    <col min="6" max="6" width="59.81640625" style="8" customWidth="1"/>
    <col min="7" max="8" width="17.453125" style="8" customWidth="1"/>
    <col min="9" max="9" width="43.54296875" style="8" customWidth="1"/>
    <col min="10" max="10" width="8.7265625" style="8"/>
    <col min="11" max="11" width="12.453125" style="8" bestFit="1" customWidth="1"/>
    <col min="12" max="12" width="8.7265625" style="8"/>
  </cols>
  <sheetData>
    <row r="1" spans="1:12" s="15" customFormat="1" ht="27.75" customHeight="1" x14ac:dyDescent="0.5">
      <c r="A1" s="53" t="s">
        <v>45</v>
      </c>
      <c r="B1" s="54"/>
      <c r="C1" s="54"/>
      <c r="D1" s="54"/>
      <c r="E1" s="54"/>
      <c r="F1" s="54"/>
      <c r="G1" s="54"/>
      <c r="H1" s="54"/>
      <c r="I1" s="54"/>
      <c r="J1" s="8"/>
      <c r="K1" s="8"/>
      <c r="L1" s="8"/>
    </row>
    <row r="2" spans="1:12" s="15" customFormat="1" ht="27.75" customHeight="1" thickBot="1" x14ac:dyDescent="0.55000000000000004">
      <c r="A2" s="55" t="s">
        <v>0</v>
      </c>
      <c r="B2" s="56"/>
      <c r="C2" s="57"/>
      <c r="D2" s="16"/>
      <c r="E2" s="58" t="s">
        <v>1</v>
      </c>
      <c r="F2" s="59"/>
      <c r="G2" s="59"/>
      <c r="H2" s="60"/>
      <c r="I2" s="42" t="s">
        <v>2</v>
      </c>
      <c r="J2" s="8"/>
      <c r="K2" s="8"/>
      <c r="L2" s="8"/>
    </row>
    <row r="3" spans="1:12" s="2" customFormat="1" ht="36.75" customHeight="1" x14ac:dyDescent="0.35">
      <c r="A3" s="61" t="s">
        <v>3</v>
      </c>
      <c r="B3" s="63" t="s">
        <v>4</v>
      </c>
      <c r="C3" s="42" t="s">
        <v>5</v>
      </c>
      <c r="D3" s="11"/>
      <c r="E3" s="42" t="s">
        <v>6</v>
      </c>
      <c r="F3" s="42" t="s">
        <v>7</v>
      </c>
      <c r="G3" s="42" t="s">
        <v>8</v>
      </c>
      <c r="H3" s="42" t="s">
        <v>9</v>
      </c>
      <c r="I3" s="43"/>
      <c r="J3" s="9"/>
      <c r="K3" s="9"/>
      <c r="L3" s="9"/>
    </row>
    <row r="4" spans="1:12" s="2" customFormat="1" ht="24.75" customHeight="1" thickBot="1" x14ac:dyDescent="0.4">
      <c r="A4" s="62"/>
      <c r="B4" s="64"/>
      <c r="C4" s="65"/>
      <c r="D4" s="12"/>
      <c r="E4" s="43"/>
      <c r="F4" s="43"/>
      <c r="G4" s="43"/>
      <c r="H4" s="43"/>
      <c r="I4" s="43"/>
      <c r="J4" s="9"/>
      <c r="K4" s="9"/>
      <c r="L4" s="9"/>
    </row>
    <row r="5" spans="1:12" ht="26.25" customHeight="1" x14ac:dyDescent="0.5">
      <c r="A5" s="3">
        <v>1</v>
      </c>
      <c r="B5" s="5" t="s">
        <v>10</v>
      </c>
      <c r="C5" s="25">
        <f>[1]Volume!$U$4</f>
        <v>2310.625</v>
      </c>
      <c r="D5" s="13"/>
      <c r="E5" s="27"/>
      <c r="F5" s="28" t="s">
        <v>11</v>
      </c>
      <c r="G5" s="22">
        <f>[1]Allocation!$J$13</f>
        <v>852</v>
      </c>
      <c r="H5" s="22">
        <f>'[1]Actual Offtake'!$K$22</f>
        <v>720.83500000000004</v>
      </c>
      <c r="I5" s="20"/>
      <c r="K5" s="34"/>
    </row>
    <row r="6" spans="1:12" ht="30.5" x14ac:dyDescent="0.5">
      <c r="A6" s="4">
        <v>2</v>
      </c>
      <c r="B6" s="6" t="s">
        <v>12</v>
      </c>
      <c r="C6" s="26">
        <f>[1]Volume!$U$5</f>
        <v>1286.1199999999999</v>
      </c>
      <c r="D6" s="13"/>
      <c r="E6" s="27"/>
      <c r="F6" s="29" t="s">
        <v>13</v>
      </c>
      <c r="G6" s="23">
        <f>[1]Allocation!$J$3</f>
        <v>3694</v>
      </c>
      <c r="H6" s="23">
        <f>'[1]Actual Offtake'!$K$15</f>
        <v>2760.1139999999996</v>
      </c>
      <c r="I6" s="20"/>
      <c r="K6" s="34"/>
    </row>
    <row r="7" spans="1:12" ht="24.75" customHeight="1" x14ac:dyDescent="0.5">
      <c r="A7" s="4">
        <v>3</v>
      </c>
      <c r="B7" s="6" t="s">
        <v>14</v>
      </c>
      <c r="C7" s="26">
        <f>[1]Volume!$U$6</f>
        <v>113.02799999999998</v>
      </c>
      <c r="D7" s="13"/>
      <c r="E7" s="27"/>
      <c r="F7" s="28" t="s">
        <v>15</v>
      </c>
      <c r="G7" s="23">
        <f>[1]Allocation!$J$6</f>
        <v>1014.5</v>
      </c>
      <c r="H7" s="23">
        <f>'[1]Actual Offtake'!$K$4</f>
        <v>1022.6409999999998</v>
      </c>
      <c r="I7" s="20"/>
      <c r="K7" s="34"/>
    </row>
    <row r="8" spans="1:12" ht="24.75" customHeight="1" x14ac:dyDescent="0.5">
      <c r="A8" s="4">
        <v>4</v>
      </c>
      <c r="B8" s="6" t="s">
        <v>16</v>
      </c>
      <c r="C8" s="26">
        <f>[1]Volume!$U$12</f>
        <v>246.10999999999996</v>
      </c>
      <c r="D8" s="13"/>
      <c r="E8" s="27"/>
      <c r="F8" s="29" t="s">
        <v>17</v>
      </c>
      <c r="G8" s="23">
        <f>[1]Allocation!$J$7</f>
        <v>1018</v>
      </c>
      <c r="H8" s="23">
        <f>'[1]Actual Offtake'!$K$18</f>
        <v>1093.6859999999999</v>
      </c>
      <c r="I8" s="20"/>
      <c r="K8" s="34"/>
    </row>
    <row r="9" spans="1:12" ht="24.75" customHeight="1" x14ac:dyDescent="0.5">
      <c r="A9" s="4">
        <v>5</v>
      </c>
      <c r="B9" s="6" t="s">
        <v>18</v>
      </c>
      <c r="C9" s="26">
        <f>[1]Volume!$U$9</f>
        <v>677.26</v>
      </c>
      <c r="D9" s="13"/>
      <c r="E9" s="27"/>
      <c r="F9" s="28" t="s">
        <v>19</v>
      </c>
      <c r="G9" s="23">
        <f>[1]Allocation!$J$22</f>
        <v>32</v>
      </c>
      <c r="H9" s="23">
        <f>'[1]Actual Offtake'!$K$21</f>
        <v>83.808000000000007</v>
      </c>
      <c r="I9" s="20"/>
      <c r="K9" s="34"/>
    </row>
    <row r="10" spans="1:12" ht="24.75" customHeight="1" x14ac:dyDescent="0.5">
      <c r="A10" s="4">
        <v>6</v>
      </c>
      <c r="B10" s="6" t="s">
        <v>20</v>
      </c>
      <c r="C10" s="26">
        <f>[1]Volume!$U$8</f>
        <v>2104.1080000000002</v>
      </c>
      <c r="D10" s="13"/>
      <c r="E10" s="27"/>
      <c r="F10" s="28"/>
      <c r="G10" s="23"/>
      <c r="H10" s="23">
        <v>0</v>
      </c>
      <c r="I10" s="20"/>
      <c r="K10" s="34"/>
    </row>
    <row r="11" spans="1:12" ht="24.75" customHeight="1" x14ac:dyDescent="0.5">
      <c r="A11" s="4">
        <v>7</v>
      </c>
      <c r="B11" s="6" t="s">
        <v>21</v>
      </c>
      <c r="C11" s="26">
        <f>[1]Volume!$U$14</f>
        <v>540</v>
      </c>
      <c r="D11" s="13"/>
      <c r="E11" s="27"/>
      <c r="F11" s="29" t="s">
        <v>22</v>
      </c>
      <c r="G11" s="23">
        <f>[1]Allocation!$J$12</f>
        <v>320</v>
      </c>
      <c r="H11" s="23">
        <f>'[1]Actual Offtake'!$K$16</f>
        <v>307.76200000000006</v>
      </c>
      <c r="I11" s="20"/>
      <c r="K11" s="34"/>
    </row>
    <row r="12" spans="1:12" ht="24.75" customHeight="1" x14ac:dyDescent="0.5">
      <c r="A12" s="4">
        <v>8</v>
      </c>
      <c r="B12" s="6" t="s">
        <v>23</v>
      </c>
      <c r="C12" s="26">
        <f>0</f>
        <v>0</v>
      </c>
      <c r="D12" s="13"/>
      <c r="E12" s="27"/>
      <c r="F12" s="29"/>
      <c r="G12" s="23"/>
      <c r="H12" s="23">
        <f>0</f>
        <v>0</v>
      </c>
      <c r="I12" s="20"/>
      <c r="K12" s="34"/>
    </row>
    <row r="13" spans="1:12" ht="24.75" customHeight="1" x14ac:dyDescent="0.5">
      <c r="A13" s="4">
        <v>9</v>
      </c>
      <c r="B13" s="6" t="s">
        <v>24</v>
      </c>
      <c r="C13" s="26">
        <f>[1]Volume!$U$10</f>
        <v>1905.1200000000001</v>
      </c>
      <c r="D13" s="13"/>
      <c r="E13" s="27"/>
      <c r="F13" s="28" t="s">
        <v>25</v>
      </c>
      <c r="G13" s="23">
        <f>[1]Allocation!$J$26</f>
        <v>70</v>
      </c>
      <c r="H13" s="51">
        <f>'[1]Actual Offtake'!$K$3</f>
        <v>107.18900000000001</v>
      </c>
      <c r="I13" s="20"/>
      <c r="K13" s="34"/>
    </row>
    <row r="14" spans="1:12" ht="24.75" customHeight="1" x14ac:dyDescent="0.5">
      <c r="A14" s="4">
        <v>10</v>
      </c>
      <c r="B14" s="6" t="s">
        <v>26</v>
      </c>
      <c r="C14" s="26">
        <f>[1]Volume!$U$11</f>
        <v>125.286</v>
      </c>
      <c r="D14" s="13"/>
      <c r="E14" s="27"/>
      <c r="F14" s="28" t="s">
        <v>27</v>
      </c>
      <c r="G14" s="23">
        <f>[1]Allocation!$J$27</f>
        <v>315</v>
      </c>
      <c r="H14" s="52"/>
      <c r="I14" s="20"/>
      <c r="K14" s="34"/>
    </row>
    <row r="15" spans="1:12" ht="24.75" customHeight="1" x14ac:dyDescent="0.5">
      <c r="A15" s="4">
        <v>11</v>
      </c>
      <c r="B15" s="6" t="s">
        <v>28</v>
      </c>
      <c r="C15" s="26">
        <f>[1]Volume!$U$13</f>
        <v>121.57000000000002</v>
      </c>
      <c r="D15" s="13"/>
      <c r="E15" s="27"/>
      <c r="F15" s="29" t="s">
        <v>29</v>
      </c>
      <c r="G15" s="23">
        <f>[1]Allocation!$J$11</f>
        <v>189</v>
      </c>
      <c r="H15" s="23">
        <f>'[1]Actual Offtake'!$K$8</f>
        <v>230.18</v>
      </c>
      <c r="I15" s="20"/>
      <c r="K15" s="34"/>
    </row>
    <row r="16" spans="1:12" ht="24.75" customHeight="1" x14ac:dyDescent="0.5">
      <c r="A16" s="4">
        <v>12</v>
      </c>
      <c r="B16" s="6" t="s">
        <v>30</v>
      </c>
      <c r="C16" s="26">
        <f>[1]Volume!$U$7</f>
        <v>301.04000000000002</v>
      </c>
      <c r="D16" s="13"/>
      <c r="E16" s="27"/>
      <c r="F16" s="29" t="s">
        <v>29</v>
      </c>
      <c r="G16" s="23">
        <f>[1]Allocation!$J$19</f>
        <v>189</v>
      </c>
      <c r="H16" s="23">
        <f>'[1]Actual Offtake'!$K$7</f>
        <v>184.74600000000001</v>
      </c>
      <c r="I16" s="20"/>
      <c r="K16" s="34"/>
    </row>
    <row r="17" spans="1:11" x14ac:dyDescent="0.5">
      <c r="A17" s="4">
        <v>13</v>
      </c>
      <c r="B17" s="6" t="s">
        <v>31</v>
      </c>
      <c r="C17" s="26">
        <f>[1]Volume!$U$15</f>
        <v>117.69699999999999</v>
      </c>
      <c r="D17" s="13"/>
      <c r="E17" s="27"/>
      <c r="F17" s="29" t="s">
        <v>32</v>
      </c>
      <c r="G17" s="23">
        <f>[1]Allocation!$J$28+[1]Allocation!$J$29</f>
        <v>9.1</v>
      </c>
      <c r="H17" s="23">
        <f>'[1]Actual Offtake'!$K$17+'[1]Actual Offtake'!$K$19</f>
        <v>10.199</v>
      </c>
      <c r="I17" s="20"/>
      <c r="K17" s="34"/>
    </row>
    <row r="18" spans="1:11" ht="19" thickBot="1" x14ac:dyDescent="0.55000000000000004">
      <c r="A18" s="44" t="s">
        <v>33</v>
      </c>
      <c r="B18" s="45"/>
      <c r="C18" s="14">
        <f>SUM(C5:C17)</f>
        <v>9847.9640000000018</v>
      </c>
      <c r="E18" s="27"/>
      <c r="F18" s="29" t="s">
        <v>34</v>
      </c>
      <c r="G18" s="23">
        <f>[1]Allocation!$J$20</f>
        <v>675.08070166334221</v>
      </c>
      <c r="H18" s="23">
        <f>'[1]Actual Offtake'!$K$14</f>
        <v>655.28400000000011</v>
      </c>
      <c r="I18" s="20"/>
      <c r="K18" s="34"/>
    </row>
    <row r="19" spans="1:11" ht="19.5" customHeight="1" x14ac:dyDescent="0.5">
      <c r="E19" s="46"/>
      <c r="F19" s="30" t="s">
        <v>35</v>
      </c>
      <c r="G19" s="32">
        <f>[1]Allocation!$J$34</f>
        <v>351</v>
      </c>
      <c r="H19" s="32">
        <f>'[1]Actual Offtake'!$K$5</f>
        <v>490.49299999999999</v>
      </c>
      <c r="I19" s="20"/>
      <c r="K19" s="34"/>
    </row>
    <row r="20" spans="1:11" ht="19.5" customHeight="1" x14ac:dyDescent="0.5">
      <c r="E20" s="47"/>
      <c r="F20" s="30"/>
      <c r="G20" s="35"/>
      <c r="H20" s="33"/>
      <c r="I20" s="20"/>
      <c r="K20" s="34"/>
    </row>
    <row r="21" spans="1:11" ht="19.5" customHeight="1" x14ac:dyDescent="0.5">
      <c r="E21" s="27"/>
      <c r="F21" s="30" t="s">
        <v>34</v>
      </c>
      <c r="G21" s="23">
        <f>[1]Allocation!$J$21</f>
        <v>22</v>
      </c>
      <c r="H21" s="23">
        <f>'[1]Actual Offtake'!$K$6</f>
        <v>24.938000000000002</v>
      </c>
      <c r="I21" s="20"/>
      <c r="K21" s="34"/>
    </row>
    <row r="22" spans="1:11" ht="19.5" customHeight="1" x14ac:dyDescent="0.5">
      <c r="E22" s="27"/>
      <c r="F22" s="29" t="s">
        <v>36</v>
      </c>
      <c r="G22" s="31">
        <f>[1]Allocation!$J$8</f>
        <v>143.5</v>
      </c>
      <c r="H22" s="23">
        <f>'[1]Actual Offtake'!$K$20</f>
        <v>112</v>
      </c>
      <c r="I22" s="20"/>
      <c r="K22" s="34"/>
    </row>
    <row r="23" spans="1:11" ht="19.5" customHeight="1" x14ac:dyDescent="0.5">
      <c r="E23" s="27"/>
      <c r="F23" s="29"/>
      <c r="G23" s="31"/>
      <c r="H23" s="23"/>
      <c r="I23" s="20"/>
      <c r="K23" s="34"/>
    </row>
    <row r="24" spans="1:11" ht="19.5" customHeight="1" x14ac:dyDescent="0.5">
      <c r="E24" s="27"/>
      <c r="F24" s="29" t="s">
        <v>34</v>
      </c>
      <c r="G24" s="31"/>
      <c r="H24" s="23"/>
      <c r="I24" s="20"/>
      <c r="K24" s="34"/>
    </row>
    <row r="25" spans="1:11" ht="19.5" customHeight="1" x14ac:dyDescent="0.5">
      <c r="E25" s="27"/>
      <c r="F25" s="48" t="s">
        <v>37</v>
      </c>
      <c r="G25" s="31">
        <f>[1]Allocation!$J$10</f>
        <v>0</v>
      </c>
      <c r="H25" s="23">
        <f>'[1]Actual Offtake'!$K$9</f>
        <v>0</v>
      </c>
      <c r="I25" s="20"/>
      <c r="K25" s="34"/>
    </row>
    <row r="26" spans="1:11" ht="19.5" customHeight="1" x14ac:dyDescent="0.5">
      <c r="E26" s="27"/>
      <c r="F26" s="49"/>
      <c r="G26" s="31">
        <f>[1]Allocation!$J$17</f>
        <v>0</v>
      </c>
      <c r="H26" s="23">
        <f>'[1]Actual Offtake'!$K$10</f>
        <v>0</v>
      </c>
      <c r="I26" s="20"/>
      <c r="K26" s="34"/>
    </row>
    <row r="27" spans="1:11" ht="19.5" customHeight="1" x14ac:dyDescent="0.5">
      <c r="E27" s="27"/>
      <c r="F27" s="49"/>
      <c r="G27" s="31">
        <f>[1]Allocation!$J$18</f>
        <v>175</v>
      </c>
      <c r="H27" s="23">
        <f>'[1]Actual Offtake'!$K$13</f>
        <v>122.176</v>
      </c>
      <c r="I27" s="20"/>
      <c r="K27" s="34"/>
    </row>
    <row r="28" spans="1:11" ht="19.5" customHeight="1" x14ac:dyDescent="0.5">
      <c r="E28" s="27"/>
      <c r="F28" s="49"/>
      <c r="G28" s="31">
        <f>[1]Allocation!$J$33</f>
        <v>385</v>
      </c>
      <c r="H28" s="23">
        <f>'[1]Actual Offtake'!$K$12</f>
        <v>341.49900000000002</v>
      </c>
      <c r="I28" s="20"/>
      <c r="K28" s="34"/>
    </row>
    <row r="29" spans="1:11" ht="19.5" customHeight="1" x14ac:dyDescent="0.5">
      <c r="E29" s="27"/>
      <c r="F29" s="50"/>
      <c r="G29" s="31">
        <f>[1]Allocation!$J$16</f>
        <v>0</v>
      </c>
      <c r="H29" s="23">
        <f>'[1]Actual Offtake'!$K$11</f>
        <v>0</v>
      </c>
      <c r="I29" s="20"/>
      <c r="K29" s="34"/>
    </row>
    <row r="30" spans="1:11" ht="19.5" customHeight="1" x14ac:dyDescent="0.5">
      <c r="E30" s="27"/>
      <c r="F30" s="28" t="s">
        <v>44</v>
      </c>
      <c r="G30" s="31">
        <f>[1]Allocation!$J$9</f>
        <v>28</v>
      </c>
      <c r="H30" s="23">
        <v>0</v>
      </c>
      <c r="I30" s="20"/>
      <c r="K30" s="34"/>
    </row>
    <row r="31" spans="1:11" ht="19.5" customHeight="1" x14ac:dyDescent="0.5">
      <c r="E31" s="18"/>
      <c r="F31" s="20"/>
      <c r="G31" s="23">
        <f>[1]Allocation!$J$23</f>
        <v>126</v>
      </c>
      <c r="H31" s="23">
        <f>'[1]Actual Offtake'!$K$21</f>
        <v>83.808000000000007</v>
      </c>
      <c r="I31" s="20"/>
    </row>
    <row r="32" spans="1:11" ht="19.5" customHeight="1" thickBot="1" x14ac:dyDescent="0.55000000000000004">
      <c r="E32" s="19"/>
      <c r="F32" s="21"/>
      <c r="G32" s="24"/>
      <c r="H32" s="24"/>
      <c r="I32" s="21"/>
    </row>
    <row r="33" spans="5:11" ht="19" thickBot="1" x14ac:dyDescent="0.55000000000000004">
      <c r="E33" s="36" t="s">
        <v>38</v>
      </c>
      <c r="F33" s="37"/>
      <c r="G33" s="17">
        <f>SUM(G5:G32)</f>
        <v>9608.1807016633429</v>
      </c>
      <c r="H33" s="17">
        <f>SUM(H5:H32)</f>
        <v>8351.358000000002</v>
      </c>
    </row>
    <row r="34" spans="5:11" ht="19" thickBot="1" x14ac:dyDescent="0.55000000000000004"/>
    <row r="35" spans="5:11" ht="38.25" customHeight="1" thickBot="1" x14ac:dyDescent="0.55000000000000004">
      <c r="E35" s="38" t="s">
        <v>39</v>
      </c>
      <c r="F35" s="39"/>
      <c r="G35" s="40">
        <f>C18-H33</f>
        <v>1496.6059999999998</v>
      </c>
      <c r="H35" s="41"/>
      <c r="K35" s="34"/>
    </row>
    <row r="36" spans="5:11" x14ac:dyDescent="0.5">
      <c r="K36" s="34"/>
    </row>
    <row r="37" spans="5:11" x14ac:dyDescent="0.5">
      <c r="H37" s="34"/>
      <c r="K37" s="34"/>
    </row>
    <row r="38" spans="5:11" x14ac:dyDescent="0.5">
      <c r="K38" s="34"/>
    </row>
  </sheetData>
  <mergeCells count="18">
    <mergeCell ref="A1:I1"/>
    <mergeCell ref="A2:C2"/>
    <mergeCell ref="E2:H2"/>
    <mergeCell ref="I2:I4"/>
    <mergeCell ref="A3:A4"/>
    <mergeCell ref="B3:B4"/>
    <mergeCell ref="C3:C4"/>
    <mergeCell ref="E3:E4"/>
    <mergeCell ref="F3:F4"/>
    <mergeCell ref="G3:G4"/>
    <mergeCell ref="E33:F33"/>
    <mergeCell ref="E35:F35"/>
    <mergeCell ref="G35:H35"/>
    <mergeCell ref="H3:H4"/>
    <mergeCell ref="A18:B18"/>
    <mergeCell ref="E19:E20"/>
    <mergeCell ref="F25:F29"/>
    <mergeCell ref="H13:H14"/>
  </mergeCells>
  <pageMargins left="0.7" right="0.7" top="0.75" bottom="0.75" header="0.3" footer="0.3"/>
  <pageSetup paperSize="9" scale="5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BCC35-09FD-4F73-ACBE-A4525AB350AD}">
  <dimension ref="A2:B3"/>
  <sheetViews>
    <sheetView workbookViewId="0"/>
  </sheetViews>
  <sheetFormatPr defaultRowHeight="14.5" x14ac:dyDescent="0.35"/>
  <sheetData>
    <row r="2" spans="1:2" x14ac:dyDescent="0.35">
      <c r="A2" t="s">
        <v>40</v>
      </c>
      <c r="B2" t="s">
        <v>41</v>
      </c>
    </row>
    <row r="3" spans="1:2" x14ac:dyDescent="0.35">
      <c r="A3" t="s">
        <v>42</v>
      </c>
      <c r="B3" t="s">
        <v>43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9bfec4a-5ccc-4996-bf58-9401877a9892}" enabled="0" method="" siteId="{c9bfec4a-5ccc-4996-bf58-9401877a989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Western Network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Sa'Adu Garba</dc:creator>
  <cp:keywords/>
  <dc:description/>
  <cp:lastModifiedBy>Ghazali I. Ahmad</cp:lastModifiedBy>
  <cp:revision/>
  <dcterms:created xsi:type="dcterms:W3CDTF">2023-11-22T11:35:52Z</dcterms:created>
  <dcterms:modified xsi:type="dcterms:W3CDTF">2026-07-20T14:48:28Z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ew0KICAiZG9jSUQiOiAiMWRkZGIzZDktY2M4Ny00OGQ1LTg2ZjYtZTcwNWIzYjM5NzAwIg0KfQ==</vt:lpwstr>
  </property>
  <property fmtid="{D5CDD505-2E9C-101B-9397-08002B2CF9AE}" pid="3" name="GVData0">
    <vt:lpwstr>(end)</vt:lpwstr>
  </property>
</Properties>
</file>