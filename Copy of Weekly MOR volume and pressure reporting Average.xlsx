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nnpcgroup-my.sharepoint.com/personal/ghazali_ahmad_nnpcgroup_com/Documents/Documents/Midstream Dummy Data/"/>
    </mc:Choice>
  </mc:AlternateContent>
  <xr:revisionPtr revIDLastSave="0" documentId="8_{1DCF2154-8BCA-411A-8F02-475F4BB49959}" xr6:coauthVersionLast="47" xr6:coauthVersionMax="47" xr10:uidLastSave="{00000000-0000-0000-0000-000000000000}"/>
  <bookViews>
    <workbookView xWindow="-110" yWindow="-110" windowWidth="19420" windowHeight="11500" xr2:uid="{45C0AC40-EB65-4CAD-A55C-DCC2AF7C809E}"/>
  </bookViews>
  <sheets>
    <sheet name="Western Network" sheetId="1" r:id="rId1"/>
    <sheet name="GVMetadata" sheetId="2" state="veryHidden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F11" i="1"/>
  <c r="E11" i="1"/>
  <c r="G11" i="1" l="1"/>
  <c r="H11" i="1" l="1"/>
  <c r="D5" i="1" l="1"/>
  <c r="D6" i="1"/>
  <c r="D7" i="1"/>
  <c r="D15" i="1"/>
  <c r="D9" i="1"/>
  <c r="D8" i="1"/>
  <c r="D12" i="1"/>
  <c r="D13" i="1"/>
  <c r="D10" i="1"/>
  <c r="D14" i="1"/>
  <c r="D16" i="1"/>
  <c r="D4" i="1"/>
  <c r="C5" i="1" l="1"/>
  <c r="C6" i="1"/>
  <c r="C15" i="1"/>
  <c r="C9" i="1"/>
  <c r="C8" i="1"/>
  <c r="C12" i="1"/>
  <c r="C13" i="1"/>
  <c r="C7" i="1"/>
  <c r="C14" i="1"/>
  <c r="C10" i="1"/>
  <c r="C16" i="1"/>
  <c r="C4" i="1" l="1"/>
  <c r="F5" i="1"/>
  <c r="H5" i="1" s="1"/>
  <c r="F6" i="1"/>
  <c r="H6" i="1" s="1"/>
  <c r="F7" i="1"/>
  <c r="H7" i="1" s="1"/>
  <c r="F15" i="1"/>
  <c r="H15" i="1" s="1"/>
  <c r="F9" i="1"/>
  <c r="H9" i="1" s="1"/>
  <c r="F8" i="1"/>
  <c r="H8" i="1" s="1"/>
  <c r="F12" i="1"/>
  <c r="H12" i="1" s="1"/>
  <c r="F13" i="1"/>
  <c r="H13" i="1" s="1"/>
  <c r="F10" i="1"/>
  <c r="H10" i="1" s="1"/>
  <c r="F14" i="1"/>
  <c r="H14" i="1" s="1"/>
  <c r="F16" i="1"/>
  <c r="H16" i="1" s="1"/>
  <c r="F4" i="1"/>
  <c r="H4" i="1" s="1"/>
  <c r="E5" i="1"/>
  <c r="G5" i="1" s="1"/>
  <c r="E6" i="1"/>
  <c r="G6" i="1" s="1"/>
  <c r="E15" i="1"/>
  <c r="G15" i="1" s="1"/>
  <c r="E9" i="1"/>
  <c r="G9" i="1" s="1"/>
  <c r="E8" i="1"/>
  <c r="G8" i="1" s="1"/>
  <c r="E12" i="1"/>
  <c r="G12" i="1" s="1"/>
  <c r="E13" i="1"/>
  <c r="G13" i="1" s="1"/>
  <c r="E7" i="1"/>
  <c r="G7" i="1" s="1"/>
  <c r="E14" i="1"/>
  <c r="G14" i="1" s="1"/>
  <c r="E16" i="1"/>
  <c r="G16" i="1" s="1"/>
  <c r="E4" i="1"/>
  <c r="G4" i="1" l="1"/>
  <c r="E10" i="1" l="1"/>
  <c r="G10" i="1" s="1"/>
</calcChain>
</file>

<file path=xl/sharedStrings.xml><?xml version="1.0" encoding="utf-8"?>
<sst xmlns="http://schemas.openxmlformats.org/spreadsheetml/2006/main" count="56" uniqueCount="49">
  <si>
    <t>WEEKLY WESTERN NETWORK VOLUME &amp; PRESSURE OVERVIEW</t>
  </si>
  <si>
    <t>S/N</t>
  </si>
  <si>
    <t>GAS PRODUCERS</t>
  </si>
  <si>
    <t>WEEK-ON-WEEK VARIANCE</t>
  </si>
  <si>
    <t>CONTRACTUAL / EXPECTED PRESSURE RANGE</t>
  </si>
  <si>
    <t>ISSUES/REMARKS</t>
  </si>
  <si>
    <t>AVERAGE VOLUME (mmscf/d)</t>
  </si>
  <si>
    <t xml:space="preserve">PRESSURE (barg) </t>
  </si>
  <si>
    <t xml:space="preserve"> VOLUME (mmscf/d)</t>
  </si>
  <si>
    <t xml:space="preserve"> PRESSURE (barg)</t>
  </si>
  <si>
    <t>CNL- Escravos</t>
  </si>
  <si>
    <t>80 - 85</t>
  </si>
  <si>
    <t>NEPL/NDW Utorogu</t>
  </si>
  <si>
    <t>72 - 76.9</t>
  </si>
  <si>
    <t>NEPL Oredo FST3 (OGPOOC)</t>
  </si>
  <si>
    <t>55 - 70</t>
  </si>
  <si>
    <t>NEPL Oredo (IGHF)</t>
  </si>
  <si>
    <t>Pan Ocean</t>
  </si>
  <si>
    <t>55- 70</t>
  </si>
  <si>
    <t>Seplat Oben</t>
  </si>
  <si>
    <t>57 - 75</t>
  </si>
  <si>
    <t>SPDC - Tunu/FYIP/Otumara</t>
  </si>
  <si>
    <t>70 - 80</t>
  </si>
  <si>
    <t>NEPL/Neconde Odidi</t>
  </si>
  <si>
    <t>Has been on shutdown</t>
  </si>
  <si>
    <t>AHL</t>
  </si>
  <si>
    <t>50 - 78</t>
  </si>
  <si>
    <t>Platform</t>
  </si>
  <si>
    <t>50 - 60.</t>
  </si>
  <si>
    <t>Xenergi</t>
  </si>
  <si>
    <t>70 - 85</t>
  </si>
  <si>
    <t>NEPL Ughelli</t>
  </si>
  <si>
    <t>This is low pressure line that is dedicated to Transcorp Power and not entering ELPS</t>
  </si>
  <si>
    <t>Chorus Energy</t>
  </si>
  <si>
    <t>GVData</t>
  </si>
  <si>
    <t>ew0KICAiZG9jSUQiOiAiMjg0NDViYjgtMjViMC00NjhlLTgyM2EtMDQyOTgyYmE2YTdlIg0KfQ==</t>
  </si>
  <si>
    <t>GVData0</t>
  </si>
  <si>
    <t>(end)</t>
  </si>
  <si>
    <t>Volume and pressure dropped</t>
  </si>
  <si>
    <t xml:space="preserve"> </t>
  </si>
  <si>
    <t>Volume and pressure improved</t>
  </si>
  <si>
    <t>Volume dropped with a slight improved  pressure</t>
  </si>
  <si>
    <t>Volume improved slightly  while pressure dropped. Some volume diverted to Pan Ocean</t>
  </si>
  <si>
    <t xml:space="preserve">Volume dropped while  pressure improved. </t>
  </si>
  <si>
    <t>Volume improved  and pressure dropped. Tunu back on stream ( 31/03/2025)</t>
  </si>
  <si>
    <t>Slight drop in Volume while pressure improved</t>
  </si>
  <si>
    <t>Volume improved while pressure dropped</t>
  </si>
  <si>
    <t>Volume profile maintained while  pressure dropped</t>
  </si>
  <si>
    <t>WEEK # dd/mm/yyyy - 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</si>
</sst>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ontserrat"/>
    </font>
    <font>
      <b/>
      <sz val="16"/>
      <color theme="1"/>
      <name val="Montserrat"/>
    </font>
    <font>
      <b/>
      <sz val="12"/>
      <color theme="1"/>
      <name val="Montserrat"/>
    </font>
    <font>
      <sz val="8"/>
      <name val="Calibri"/>
      <family val="2"/>
      <scheme val="minor"/>
    </font>
    <font>
      <sz val="12"/>
      <name val="Montserrat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64" fontId="2" fillId="0" borderId="1" xfId="1" applyFont="1" applyBorder="1" applyAlignment="1">
      <alignment horizontal="center" vertical="center"/>
    </xf>
    <xf numFmtId="0" fontId="7" fillId="0" borderId="0" xfId="0" applyFont="1"/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hima_okorie_nnpcgroup_com/Documents/Attachments/Working%20Spreadsheet%20for%20Weekly%20Report.xlsx" TargetMode="External"/><Relationship Id="rId2" Type="http://schemas.openxmlformats.org/officeDocument/2006/relationships/externalLinkPath" Target="https://nnpcgroup-my.sharepoint.com/personal/chima_okorie_nnpcgroup_com/Documents/GAS%20REPORTS/MOR%20REPORTS/Working%20Spreadsheet%20for%20Weekly%20Report.xlsx" TargetMode="External"/><Relationship Id="rId1" Type="http://schemas.openxmlformats.org/officeDocument/2006/relationships/externalLinkPath" Target="/personal/chima_okorie_nnpcgroup_com/Documents/Attachments/Working%20Spreadsheet%20for%20Weekly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olume"/>
      <sheetName val="Allocation"/>
      <sheetName val="Pressure"/>
      <sheetName val="Actual Offtake"/>
      <sheetName val="GVMetadata"/>
    </sheetNames>
    <sheetDataSet>
      <sheetData sheetId="0">
        <row r="4">
          <cell r="L4">
            <v>352.95528571428571</v>
          </cell>
          <cell r="T4">
            <v>330.08928571428572</v>
          </cell>
        </row>
        <row r="5">
          <cell r="L5">
            <v>201.8857142857143</v>
          </cell>
          <cell r="T5">
            <v>183.73142857142855</v>
          </cell>
        </row>
        <row r="6">
          <cell r="L6">
            <v>14.911285714285713</v>
          </cell>
          <cell r="T6">
            <v>16.14685714285714</v>
          </cell>
        </row>
        <row r="7">
          <cell r="L7">
            <v>47.598571428571425</v>
          </cell>
          <cell r="T7">
            <v>43.005714285714291</v>
          </cell>
        </row>
        <row r="8">
          <cell r="L8">
            <v>290.81242857142854</v>
          </cell>
          <cell r="T8">
            <v>300.58685714285718</v>
          </cell>
        </row>
        <row r="9">
          <cell r="L9">
            <v>108.14857142857143</v>
          </cell>
          <cell r="T9">
            <v>96.751428571428576</v>
          </cell>
        </row>
        <row r="10">
          <cell r="L10">
            <v>292.33142857142855</v>
          </cell>
          <cell r="T10">
            <v>272.16000000000003</v>
          </cell>
        </row>
        <row r="11">
          <cell r="L11">
            <v>18.217285714285715</v>
          </cell>
          <cell r="T11">
            <v>17.898</v>
          </cell>
        </row>
        <row r="12">
          <cell r="L12">
            <v>45.337142857142858</v>
          </cell>
          <cell r="T12">
            <v>35.15857142857142</v>
          </cell>
        </row>
        <row r="13">
          <cell r="L13">
            <v>16.665714285714291</v>
          </cell>
          <cell r="T13">
            <v>17.367142857142859</v>
          </cell>
        </row>
        <row r="14">
          <cell r="L14">
            <v>27.392857142857142</v>
          </cell>
          <cell r="T14">
            <v>77.142857142857139</v>
          </cell>
        </row>
        <row r="15">
          <cell r="L15">
            <v>16.815285714285714</v>
          </cell>
          <cell r="T15">
            <v>16.813857142857142</v>
          </cell>
        </row>
      </sheetData>
      <sheetData sheetId="1">
        <row r="3">
          <cell r="J3">
            <v>3694</v>
          </cell>
        </row>
      </sheetData>
      <sheetData sheetId="2">
        <row r="3">
          <cell r="J3">
            <v>81.834285714285713</v>
          </cell>
          <cell r="R3">
            <v>82.098571428571418</v>
          </cell>
        </row>
        <row r="4">
          <cell r="J4">
            <v>53.562857142857141</v>
          </cell>
          <cell r="R4">
            <v>54.075714285714284</v>
          </cell>
        </row>
        <row r="5">
          <cell r="J5">
            <v>54.404285714285706</v>
          </cell>
          <cell r="R5">
            <v>38.187222441099998</v>
          </cell>
        </row>
        <row r="6">
          <cell r="J6">
            <v>43.672857142857147</v>
          </cell>
          <cell r="R6">
            <v>49.604285714285716</v>
          </cell>
        </row>
        <row r="7">
          <cell r="J7">
            <v>24.214285714285715</v>
          </cell>
          <cell r="R7">
            <v>24.214285714285715</v>
          </cell>
        </row>
        <row r="9">
          <cell r="J9">
            <v>55.542857142857144</v>
          </cell>
          <cell r="R9">
            <v>56.31428571428571</v>
          </cell>
        </row>
        <row r="10">
          <cell r="J10">
            <v>72.217142857142861</v>
          </cell>
          <cell r="R10">
            <v>72.018571428571434</v>
          </cell>
        </row>
        <row r="13">
          <cell r="J13">
            <v>71.258571428571429</v>
          </cell>
          <cell r="R13">
            <v>71.415714285714287</v>
          </cell>
        </row>
        <row r="14">
          <cell r="J14">
            <v>58.928897250019695</v>
          </cell>
          <cell r="R14">
            <v>55.726597588842488</v>
          </cell>
        </row>
        <row r="16">
          <cell r="J16">
            <v>81.89</v>
          </cell>
          <cell r="R16">
            <v>79.96142857142857</v>
          </cell>
        </row>
        <row r="17">
          <cell r="J17">
            <v>62.969999999999992</v>
          </cell>
          <cell r="R17">
            <v>59.309999999999995</v>
          </cell>
        </row>
        <row r="18">
          <cell r="J18">
            <v>64.007142857142867</v>
          </cell>
          <cell r="R18">
            <v>60.388571428571431</v>
          </cell>
        </row>
      </sheetData>
      <sheetData sheetId="3">
        <row r="3">
          <cell r="K3">
            <v>107.18900000000001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1D8A-6471-488D-BFAA-A6F9D9C09F2F}">
  <sheetPr>
    <pageSetUpPr fitToPage="1"/>
  </sheetPr>
  <dimension ref="A1:M18"/>
  <sheetViews>
    <sheetView tabSelected="1" zoomScale="70" zoomScaleNormal="70" workbookViewId="0">
      <selection activeCell="E2" sqref="E2:F2"/>
    </sheetView>
  </sheetViews>
  <sheetFormatPr defaultRowHeight="14.5" x14ac:dyDescent="0.35"/>
  <cols>
    <col min="1" max="1" width="9.1796875" style="2"/>
    <col min="2" max="2" width="33.26953125" style="4" customWidth="1"/>
    <col min="3" max="3" width="13.1796875" style="4" bestFit="1" customWidth="1"/>
    <col min="4" max="4" width="13.7265625" style="4" bestFit="1" customWidth="1"/>
    <col min="5" max="5" width="14.54296875" style="4" bestFit="1" customWidth="1"/>
    <col min="6" max="6" width="15.6328125" style="4" customWidth="1"/>
    <col min="7" max="7" width="13.453125" style="2" bestFit="1" customWidth="1"/>
    <col min="8" max="8" width="14.26953125" style="2" bestFit="1" customWidth="1"/>
    <col min="9" max="9" width="23.7265625" style="2" customWidth="1"/>
    <col min="10" max="10" width="69.81640625" style="1" customWidth="1"/>
  </cols>
  <sheetData>
    <row r="1" spans="1:13" ht="36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3" s="3" customFormat="1" ht="36.75" customHeight="1" x14ac:dyDescent="0.35">
      <c r="A2" s="13" t="s">
        <v>1</v>
      </c>
      <c r="B2" s="11" t="s">
        <v>2</v>
      </c>
      <c r="C2" s="11" t="s">
        <v>48</v>
      </c>
      <c r="D2" s="11"/>
      <c r="E2" s="11" t="s">
        <v>48</v>
      </c>
      <c r="F2" s="11"/>
      <c r="G2" s="11" t="s">
        <v>3</v>
      </c>
      <c r="H2" s="11"/>
      <c r="I2" s="11" t="s">
        <v>4</v>
      </c>
      <c r="J2" s="11" t="s">
        <v>5</v>
      </c>
    </row>
    <row r="3" spans="1:13" s="3" customFormat="1" ht="61.5" customHeight="1" x14ac:dyDescent="0.35">
      <c r="A3" s="13"/>
      <c r="B3" s="11"/>
      <c r="C3" s="5" t="s">
        <v>6</v>
      </c>
      <c r="D3" s="5" t="s">
        <v>7</v>
      </c>
      <c r="E3" s="5" t="s">
        <v>6</v>
      </c>
      <c r="F3" s="5" t="s">
        <v>7</v>
      </c>
      <c r="G3" s="5" t="s">
        <v>8</v>
      </c>
      <c r="H3" s="5" t="s">
        <v>9</v>
      </c>
      <c r="I3" s="11"/>
      <c r="J3" s="11"/>
    </row>
    <row r="4" spans="1:13" ht="18.5" x14ac:dyDescent="0.35">
      <c r="A4" s="6">
        <v>1</v>
      </c>
      <c r="B4" s="7" t="s">
        <v>10</v>
      </c>
      <c r="C4" s="8">
        <f>[1]Volume!$T$4</f>
        <v>330.08928571428572</v>
      </c>
      <c r="D4" s="8">
        <f>[1]Pressure!$R$3</f>
        <v>82.098571428571418</v>
      </c>
      <c r="E4" s="8">
        <f>[1]Volume!$L$4</f>
        <v>352.95528571428571</v>
      </c>
      <c r="F4" s="8">
        <f>[1]Pressure!$J$3</f>
        <v>81.834285714285713</v>
      </c>
      <c r="G4" s="8">
        <f t="shared" ref="G4:G16" si="0">C4-E4</f>
        <v>-22.865999999999985</v>
      </c>
      <c r="H4" s="8">
        <f t="shared" ref="H4:H16" si="1">D4-F4</f>
        <v>0.26428571428570535</v>
      </c>
      <c r="I4" s="8" t="s">
        <v>11</v>
      </c>
      <c r="J4" s="10" t="s">
        <v>41</v>
      </c>
    </row>
    <row r="5" spans="1:13" ht="18.5" x14ac:dyDescent="0.35">
      <c r="A5" s="6">
        <v>2</v>
      </c>
      <c r="B5" s="7" t="s">
        <v>12</v>
      </c>
      <c r="C5" s="8">
        <f>[1]Volume!$T$5</f>
        <v>183.73142857142855</v>
      </c>
      <c r="D5" s="8">
        <f>[1]Pressure!$R$4</f>
        <v>54.075714285714284</v>
      </c>
      <c r="E5" s="8">
        <f>[1]Volume!$L$5</f>
        <v>201.8857142857143</v>
      </c>
      <c r="F5" s="8">
        <f>[1]Pressure!$J$4</f>
        <v>53.562857142857141</v>
      </c>
      <c r="G5" s="8">
        <f t="shared" si="0"/>
        <v>-18.154285714285749</v>
      </c>
      <c r="H5" s="8">
        <f t="shared" si="1"/>
        <v>0.51285714285714334</v>
      </c>
      <c r="I5" s="8" t="s">
        <v>13</v>
      </c>
      <c r="J5" s="10" t="s">
        <v>41</v>
      </c>
    </row>
    <row r="6" spans="1:13" ht="37" x14ac:dyDescent="0.35">
      <c r="A6" s="6">
        <v>3</v>
      </c>
      <c r="B6" s="7" t="s">
        <v>14</v>
      </c>
      <c r="C6" s="8">
        <f>[1]Volume!$T$6</f>
        <v>16.14685714285714</v>
      </c>
      <c r="D6" s="8">
        <f>[1]Pressure!$R$5</f>
        <v>38.187222441099998</v>
      </c>
      <c r="E6" s="8">
        <f>[1]Volume!$L$6</f>
        <v>14.911285714285713</v>
      </c>
      <c r="F6" s="8">
        <f>[1]Pressure!$J$5</f>
        <v>54.404285714285706</v>
      </c>
      <c r="G6" s="8">
        <f t="shared" si="0"/>
        <v>1.2355714285714274</v>
      </c>
      <c r="H6" s="8">
        <f t="shared" si="1"/>
        <v>-16.217063273185708</v>
      </c>
      <c r="I6" s="8" t="s">
        <v>15</v>
      </c>
      <c r="J6" s="10" t="s">
        <v>42</v>
      </c>
      <c r="L6" s="10"/>
    </row>
    <row r="7" spans="1:13" ht="18.5" x14ac:dyDescent="0.35">
      <c r="A7" s="6">
        <v>4</v>
      </c>
      <c r="B7" s="7" t="s">
        <v>16</v>
      </c>
      <c r="C7" s="8">
        <f>[1]Volume!$T$12</f>
        <v>35.15857142857142</v>
      </c>
      <c r="D7" s="8">
        <f>[1]Pressure!$R$6</f>
        <v>49.604285714285716</v>
      </c>
      <c r="E7" s="8">
        <f>[1]Volume!$L$12</f>
        <v>45.337142857142858</v>
      </c>
      <c r="F7" s="8">
        <f>[1]Pressure!$J$6</f>
        <v>43.672857142857147</v>
      </c>
      <c r="G7" s="8">
        <f t="shared" si="0"/>
        <v>-10.178571428571438</v>
      </c>
      <c r="H7" s="8">
        <f t="shared" si="1"/>
        <v>5.9314285714285688</v>
      </c>
      <c r="I7" s="8" t="s">
        <v>15</v>
      </c>
      <c r="J7" s="10" t="s">
        <v>43</v>
      </c>
    </row>
    <row r="8" spans="1:13" ht="18.5" x14ac:dyDescent="0.35">
      <c r="A8" s="6">
        <v>5</v>
      </c>
      <c r="B8" s="7" t="s">
        <v>17</v>
      </c>
      <c r="C8" s="8">
        <f>[1]Volume!$T$9</f>
        <v>96.751428571428576</v>
      </c>
      <c r="D8" s="8">
        <f>[1]Pressure!$R$10</f>
        <v>72.018571428571434</v>
      </c>
      <c r="E8" s="8">
        <f>[1]Volume!$L$9</f>
        <v>108.14857142857143</v>
      </c>
      <c r="F8" s="8">
        <f>[1]Pressure!$J$10</f>
        <v>72.217142857142861</v>
      </c>
      <c r="G8" s="8">
        <f t="shared" si="0"/>
        <v>-11.397142857142853</v>
      </c>
      <c r="H8" s="8">
        <f t="shared" si="1"/>
        <v>-0.19857142857142662</v>
      </c>
      <c r="I8" s="8" t="s">
        <v>18</v>
      </c>
      <c r="J8" s="10" t="s">
        <v>38</v>
      </c>
    </row>
    <row r="9" spans="1:13" ht="18.5" x14ac:dyDescent="0.35">
      <c r="A9" s="6">
        <v>6</v>
      </c>
      <c r="B9" s="7" t="s">
        <v>19</v>
      </c>
      <c r="C9" s="8">
        <f>[1]Volume!$T$8</f>
        <v>300.58685714285718</v>
      </c>
      <c r="D9" s="8">
        <f>[1]Pressure!$R$9</f>
        <v>56.31428571428571</v>
      </c>
      <c r="E9" s="8">
        <f>[1]Volume!$L$8</f>
        <v>290.81242857142854</v>
      </c>
      <c r="F9" s="8">
        <f>[1]Pressure!$J$9</f>
        <v>55.542857142857144</v>
      </c>
      <c r="G9" s="8">
        <f t="shared" si="0"/>
        <v>9.7744285714286434</v>
      </c>
      <c r="H9" s="8">
        <f t="shared" si="1"/>
        <v>0.77142857142856514</v>
      </c>
      <c r="I9" s="8" t="s">
        <v>20</v>
      </c>
      <c r="J9" s="10" t="s">
        <v>40</v>
      </c>
    </row>
    <row r="10" spans="1:13" ht="37" x14ac:dyDescent="0.35">
      <c r="A10" s="6">
        <v>7</v>
      </c>
      <c r="B10" s="7" t="s">
        <v>21</v>
      </c>
      <c r="C10" s="8">
        <f>[1]Volume!$T$14</f>
        <v>77.142857142857139</v>
      </c>
      <c r="D10" s="8">
        <f>[1]Pressure!$R$16</f>
        <v>79.96142857142857</v>
      </c>
      <c r="E10" s="8">
        <f>[1]Volume!$L$14</f>
        <v>27.392857142857142</v>
      </c>
      <c r="F10" s="8">
        <f>[1]Pressure!$J$16</f>
        <v>81.89</v>
      </c>
      <c r="G10" s="8">
        <f t="shared" si="0"/>
        <v>49.75</v>
      </c>
      <c r="H10" s="8">
        <f t="shared" si="1"/>
        <v>-1.9285714285714306</v>
      </c>
      <c r="I10" s="8" t="s">
        <v>22</v>
      </c>
      <c r="J10" s="10" t="s">
        <v>44</v>
      </c>
    </row>
    <row r="11" spans="1:13" ht="18.5" x14ac:dyDescent="0.35">
      <c r="A11" s="6">
        <v>8</v>
      </c>
      <c r="B11" s="7" t="s">
        <v>23</v>
      </c>
      <c r="C11" s="8">
        <f>0</f>
        <v>0</v>
      </c>
      <c r="D11" s="8">
        <v>0</v>
      </c>
      <c r="E11" s="8">
        <f>0</f>
        <v>0</v>
      </c>
      <c r="F11" s="8">
        <f>0</f>
        <v>0</v>
      </c>
      <c r="G11" s="8">
        <f t="shared" si="0"/>
        <v>0</v>
      </c>
      <c r="H11" s="8">
        <f t="shared" si="1"/>
        <v>0</v>
      </c>
      <c r="I11" s="8"/>
      <c r="J11" s="10" t="s">
        <v>24</v>
      </c>
    </row>
    <row r="12" spans="1:13" ht="18.5" x14ac:dyDescent="0.35">
      <c r="A12" s="6">
        <v>9</v>
      </c>
      <c r="B12" s="7" t="s">
        <v>25</v>
      </c>
      <c r="C12" s="8">
        <f>[1]Volume!$T$10</f>
        <v>272.16000000000003</v>
      </c>
      <c r="D12" s="8">
        <f>[1]Pressure!$R$13</f>
        <v>71.415714285714287</v>
      </c>
      <c r="E12" s="8">
        <f>[1]Volume!$L$10</f>
        <v>292.33142857142855</v>
      </c>
      <c r="F12" s="8">
        <f>[1]Pressure!$J$13</f>
        <v>71.258571428571429</v>
      </c>
      <c r="G12" s="8">
        <f t="shared" si="0"/>
        <v>-20.171428571428521</v>
      </c>
      <c r="H12" s="8">
        <f t="shared" si="1"/>
        <v>0.15714285714285836</v>
      </c>
      <c r="I12" s="8" t="s">
        <v>26</v>
      </c>
      <c r="J12" s="10" t="s">
        <v>45</v>
      </c>
    </row>
    <row r="13" spans="1:13" ht="18.5" x14ac:dyDescent="0.35">
      <c r="A13" s="6">
        <v>10</v>
      </c>
      <c r="B13" s="7" t="s">
        <v>27</v>
      </c>
      <c r="C13" s="8">
        <f>[1]Volume!$T$11</f>
        <v>17.898</v>
      </c>
      <c r="D13" s="8">
        <f>[1]Pressure!$R$14</f>
        <v>55.726597588842488</v>
      </c>
      <c r="E13" s="8">
        <f>[1]Volume!$L$11</f>
        <v>18.217285714285715</v>
      </c>
      <c r="F13" s="8">
        <f>[1]Pressure!$J$14</f>
        <v>58.928897250019695</v>
      </c>
      <c r="G13" s="8">
        <f t="shared" si="0"/>
        <v>-0.31928571428571573</v>
      </c>
      <c r="H13" s="8">
        <f t="shared" si="1"/>
        <v>-3.2022996611772072</v>
      </c>
      <c r="I13" s="8" t="s">
        <v>28</v>
      </c>
      <c r="J13" s="10" t="s">
        <v>38</v>
      </c>
    </row>
    <row r="14" spans="1:13" ht="18.5" x14ac:dyDescent="0.35">
      <c r="A14" s="6">
        <v>11</v>
      </c>
      <c r="B14" s="7" t="s">
        <v>29</v>
      </c>
      <c r="C14" s="8">
        <f>[1]Volume!$T$13</f>
        <v>17.367142857142859</v>
      </c>
      <c r="D14" s="8">
        <f>[1]Pressure!$R$17</f>
        <v>59.309999999999995</v>
      </c>
      <c r="E14" s="8">
        <f>[1]Volume!$L$13</f>
        <v>16.665714285714291</v>
      </c>
      <c r="F14" s="8">
        <f>[1]Pressure!$J$17</f>
        <v>62.969999999999992</v>
      </c>
      <c r="G14" s="8">
        <f t="shared" si="0"/>
        <v>0.7014285714285684</v>
      </c>
      <c r="H14" s="8">
        <f t="shared" si="1"/>
        <v>-3.6599999999999966</v>
      </c>
      <c r="I14" s="8" t="s">
        <v>30</v>
      </c>
      <c r="J14" s="10" t="s">
        <v>46</v>
      </c>
      <c r="M14" s="9"/>
    </row>
    <row r="15" spans="1:13" ht="37" x14ac:dyDescent="0.35">
      <c r="A15" s="6">
        <v>12</v>
      </c>
      <c r="B15" s="7" t="s">
        <v>31</v>
      </c>
      <c r="C15" s="8">
        <f>[1]Volume!$T$7</f>
        <v>43.005714285714291</v>
      </c>
      <c r="D15" s="8">
        <f>[1]Pressure!$R$7</f>
        <v>24.214285714285715</v>
      </c>
      <c r="E15" s="8">
        <f>[1]Volume!$L$7</f>
        <v>47.598571428571425</v>
      </c>
      <c r="F15" s="8">
        <f>[1]Pressure!$J$7</f>
        <v>24.214285714285715</v>
      </c>
      <c r="G15" s="8">
        <f t="shared" si="0"/>
        <v>-4.5928571428571345</v>
      </c>
      <c r="H15" s="8">
        <f t="shared" si="1"/>
        <v>0</v>
      </c>
      <c r="I15" s="8"/>
      <c r="J15" s="10" t="s">
        <v>32</v>
      </c>
    </row>
    <row r="16" spans="1:13" ht="18.5" x14ac:dyDescent="0.35">
      <c r="A16" s="6">
        <v>13</v>
      </c>
      <c r="B16" s="7" t="s">
        <v>33</v>
      </c>
      <c r="C16" s="8">
        <f>[1]Volume!$T$15</f>
        <v>16.813857142857142</v>
      </c>
      <c r="D16" s="8">
        <f>[1]Pressure!$R$18</f>
        <v>60.388571428571431</v>
      </c>
      <c r="E16" s="8">
        <f>[1]Volume!$L$15</f>
        <v>16.815285714285714</v>
      </c>
      <c r="F16" s="8">
        <f>[1]Pressure!$J$18</f>
        <v>64.007142857142867</v>
      </c>
      <c r="G16" s="8">
        <f t="shared" si="0"/>
        <v>-1.4285714285726669E-3</v>
      </c>
      <c r="H16" s="8">
        <f t="shared" si="1"/>
        <v>-3.6185714285714354</v>
      </c>
      <c r="I16" s="8" t="s">
        <v>30</v>
      </c>
      <c r="J16" s="10" t="s">
        <v>47</v>
      </c>
    </row>
    <row r="18" spans="10:10" x14ac:dyDescent="0.35">
      <c r="J18" s="1" t="s">
        <v>39</v>
      </c>
    </row>
  </sheetData>
  <mergeCells count="8">
    <mergeCell ref="J2:J3"/>
    <mergeCell ref="A1:J1"/>
    <mergeCell ref="B2:B3"/>
    <mergeCell ref="A2:A3"/>
    <mergeCell ref="G2:H2"/>
    <mergeCell ref="I2:I3"/>
    <mergeCell ref="E2:F2"/>
    <mergeCell ref="C2:D2"/>
  </mergeCells>
  <phoneticPr fontId="5" type="noConversion"/>
  <pageMargins left="0.7" right="0.7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0DA0-F4DF-464B-9710-B13D87F4B00F}">
  <dimension ref="A2:B3"/>
  <sheetViews>
    <sheetView workbookViewId="0"/>
  </sheetViews>
  <sheetFormatPr defaultRowHeight="14.5" x14ac:dyDescent="0.35"/>
  <sheetData>
    <row r="2" spans="1:2" x14ac:dyDescent="0.35">
      <c r="A2" t="s">
        <v>34</v>
      </c>
      <c r="B2" t="s">
        <v>35</v>
      </c>
    </row>
    <row r="3" spans="1:2" x14ac:dyDescent="0.35">
      <c r="A3" t="s">
        <v>36</v>
      </c>
      <c r="B3" t="s"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bfec4a-5ccc-4996-bf58-9401877a9892}" enabled="0" method="" siteId="{c9bfec4a-5ccc-4996-bf58-9401877a989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Western Network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Sa'Adu Garba</dc:creator>
  <cp:keywords/>
  <dc:description/>
  <cp:lastModifiedBy>Ghazali I. Ahmad</cp:lastModifiedBy>
  <cp:revision/>
  <dcterms:created xsi:type="dcterms:W3CDTF">2023-11-22T11:35:52Z</dcterms:created>
  <dcterms:modified xsi:type="dcterms:W3CDTF">2026-07-20T14:46:30Z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ew0KICAiZG9jSUQiOiAiMjg0NDViYjgtMjViMC00NjhlLTgyM2EtMDQyOTgyYmE2YTdlIg0KfQ==</vt:lpwstr>
  </property>
  <property fmtid="{D5CDD505-2E9C-101B-9397-08002B2CF9AE}" pid="3" name="GVData0">
    <vt:lpwstr>(end)</vt:lpwstr>
  </property>
</Properties>
</file>